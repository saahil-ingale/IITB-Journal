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Reports\"/>
    </mc:Choice>
  </mc:AlternateContent>
  <bookViews>
    <workbookView xWindow="0" yWindow="0" windowWidth="23040" windowHeight="9072"/>
  </bookViews>
  <sheets>
    <sheet name="Sheet1" sheetId="1" r:id="rId1"/>
  </sheets>
  <calcPr calcId="162913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2" i="1" l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11" i="1"/>
  <c r="E111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96" i="1"/>
  <c r="E96" i="1" s="1"/>
  <c r="E59" i="1"/>
  <c r="E43" i="1"/>
  <c r="E5" i="1"/>
  <c r="C15" i="1"/>
  <c r="E15" i="1" s="1"/>
  <c r="C14" i="1"/>
  <c r="E14" i="1" s="1"/>
  <c r="C13" i="1"/>
  <c r="E13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78" i="1"/>
  <c r="E78" i="1" s="1"/>
  <c r="C59" i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58" i="1"/>
  <c r="E58" i="1" s="1"/>
  <c r="C41" i="1"/>
  <c r="E41" i="1" s="1"/>
  <c r="C42" i="1"/>
  <c r="E42" i="1" s="1"/>
  <c r="C43" i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40" i="1"/>
  <c r="E40" i="1" s="1"/>
  <c r="C21" i="1"/>
  <c r="E21" i="1" s="1"/>
  <c r="C22" i="1"/>
  <c r="E22" i="1" s="1"/>
  <c r="H23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11" i="1"/>
  <c r="E11" i="1" s="1"/>
  <c r="C6" i="1"/>
  <c r="E6" i="1" s="1"/>
  <c r="C7" i="1"/>
  <c r="E7" i="1" s="1"/>
  <c r="C10" i="1"/>
  <c r="E10" i="1" s="1"/>
  <c r="C8" i="1"/>
  <c r="E8" i="1" s="1"/>
  <c r="C3" i="1"/>
  <c r="E3" i="1" s="1"/>
  <c r="C4" i="1"/>
  <c r="E4" i="1" s="1"/>
  <c r="C5" i="1"/>
  <c r="C9" i="1"/>
  <c r="E9" i="1" s="1"/>
  <c r="C12" i="1"/>
  <c r="E12" i="1" s="1"/>
  <c r="C2" i="1"/>
  <c r="E2" i="1" s="1"/>
  <c r="H3" i="1" l="1"/>
  <c r="H5" i="1"/>
  <c r="H44" i="1"/>
  <c r="H81" i="1"/>
  <c r="H79" i="1"/>
  <c r="H62" i="1"/>
  <c r="H60" i="1"/>
  <c r="H42" i="1"/>
  <c r="H21" i="1"/>
</calcChain>
</file>

<file path=xl/sharedStrings.xml><?xml version="1.0" encoding="utf-8"?>
<sst xmlns="http://schemas.openxmlformats.org/spreadsheetml/2006/main" count="52" uniqueCount="16">
  <si>
    <t>VD</t>
  </si>
  <si>
    <t>VD(resistor )</t>
  </si>
  <si>
    <t>id</t>
  </si>
  <si>
    <t>blue diode</t>
  </si>
  <si>
    <t>id(blue LED)</t>
  </si>
  <si>
    <t>Green LED</t>
  </si>
  <si>
    <t>Red LED</t>
  </si>
  <si>
    <t>VD(resistor)</t>
  </si>
  <si>
    <t>White LED</t>
  </si>
  <si>
    <t>log (iD)</t>
  </si>
  <si>
    <t>log(iD)</t>
  </si>
  <si>
    <r>
      <t>slope=</t>
    </r>
    <r>
      <rPr>
        <sz val="11"/>
        <color theme="1"/>
        <rFont val="Calibri"/>
        <family val="2"/>
      </rPr>
      <t>η</t>
    </r>
  </si>
  <si>
    <t>slope=η</t>
  </si>
  <si>
    <t>intersept=saturation current</t>
  </si>
  <si>
    <t>N-15 fibricated</t>
  </si>
  <si>
    <t>schottky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</si>
</sst>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Sheet1!$C$20</c:f>
              <c:strCache>
                <c:ptCount val="1"/>
                <c:pt idx="0">
                  <c:v>id(blue LED)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Sheet1!$B$21:$B$29</c:f>
              <c:numCache>
                <c:formatCode>General</c:formatCode>
                <c:ptCount val="9"/>
                <c:pt idx="0">
                  <c:v>0.6</c:v>
                </c:pt>
                <c:pt idx="1">
                  <c:v>2.2999999999999998</c:v>
                </c:pt>
                <c:pt idx="2">
                  <c:v>2.5</c:v>
                </c:pt>
                <c:pt idx="3">
                  <c:v>2.56</c:v>
                </c:pt>
                <c:pt idx="4">
                  <c:v>2.6</c:v>
                </c:pt>
                <c:pt idx="5">
                  <c:v>2.65</c:v>
                </c:pt>
                <c:pt idx="6">
                  <c:v>2.7</c:v>
                </c:pt>
                <c:pt idx="7">
                  <c:v>2.75</c:v>
                </c:pt>
                <c:pt idx="8">
                  <c:v>2.8</c:v>
                </c:pt>
              </c:numCache>
            </c:numRef>
          </c:xVal>
          <c:yVal>
            <c:numRef>
              <c:f>Sheet1!$C$21:$C$29</c:f>
              <c:numCache>
                <c:formatCode>General</c:formatCode>
                <c:ptCount val="9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7.000000000000001E-4</c:v>
                </c:pt>
                <c:pt idx="4">
                  <c:v>1.2999999999999999E-3</c:v>
                </c:pt>
                <c:pt idx="5">
                  <c:v>2.7000000000000001E-3</c:v>
                </c:pt>
                <c:pt idx="6">
                  <c:v>4.4000000000000003E-3</c:v>
                </c:pt>
                <c:pt idx="7">
                  <c:v>6.5000000000000006E-3</c:v>
                </c:pt>
                <c:pt idx="8">
                  <c:v>9.1000000000000004E-3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40-4DA0-A40E-0CD0280DB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61440"/>
        <c:axId val="94750400"/>
      </c:scatterChart>
      <c:valAx>
        <c:axId val="9476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0400"/>
        <c:crosses val="autoZero"/>
        <c:crossBetween val="midCat"/>
      </c:valAx>
      <c:valAx>
        <c:axId val="947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38678915135607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Sheet1!$C$38:$C$39</c:f>
              <c:strCache>
                <c:ptCount val="2"/>
                <c:pt idx="0">
                  <c:v>Green LED</c:v>
                </c:pt>
                <c:pt idx="1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Sheet1!$B$40:$B$53</c:f>
              <c:numCache>
                <c:formatCode>General</c:formatCode>
                <c:ptCount val="14"/>
                <c:pt idx="0">
                  <c:v>0.12</c:v>
                </c:pt>
                <c:pt idx="1">
                  <c:v>0.54</c:v>
                </c:pt>
                <c:pt idx="2">
                  <c:v>1.83</c:v>
                </c:pt>
                <c:pt idx="3">
                  <c:v>2.0699999999999998</c:v>
                </c:pt>
                <c:pt idx="4">
                  <c:v>2.19</c:v>
                </c:pt>
                <c:pt idx="5">
                  <c:v>2.31</c:v>
                </c:pt>
                <c:pt idx="6">
                  <c:v>2.4</c:v>
                </c:pt>
                <c:pt idx="7">
                  <c:v>2.4500000000000002</c:v>
                </c:pt>
                <c:pt idx="8">
                  <c:v>2.5</c:v>
                </c:pt>
                <c:pt idx="9">
                  <c:v>2.6</c:v>
                </c:pt>
                <c:pt idx="10">
                  <c:v>2.65</c:v>
                </c:pt>
                <c:pt idx="11">
                  <c:v>2.73</c:v>
                </c:pt>
                <c:pt idx="12">
                  <c:v>2.8</c:v>
                </c:pt>
                <c:pt idx="13">
                  <c:v>2.87</c:v>
                </c:pt>
              </c:numCache>
            </c:numRef>
          </c:xVal>
          <c:yVal>
            <c:numRef>
              <c:f>Sheet1!$C$40:$C$53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1E-4</c:v>
                </c:pt>
                <c:pt idx="4">
                  <c:v>2.0000000000000001E-4</c:v>
                </c:pt>
                <c:pt idx="5">
                  <c:v>7.000000000000001E-4</c:v>
                </c:pt>
                <c:pt idx="6">
                  <c:v>1.2999999999999999E-3</c:v>
                </c:pt>
                <c:pt idx="7">
                  <c:v>1.9E-3</c:v>
                </c:pt>
                <c:pt idx="8">
                  <c:v>2.5000000000000001E-3</c:v>
                </c:pt>
                <c:pt idx="9">
                  <c:v>3.9000000000000003E-3</c:v>
                </c:pt>
                <c:pt idx="10">
                  <c:v>4.6999999999999993E-3</c:v>
                </c:pt>
                <c:pt idx="11">
                  <c:v>6.0000000000000001E-3</c:v>
                </c:pt>
                <c:pt idx="12">
                  <c:v>7.7000000000000002E-3</c:v>
                </c:pt>
                <c:pt idx="13">
                  <c:v>9.1999999999999998E-3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D3-4DFE-ABC4-D697D0566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16320"/>
        <c:axId val="94733120"/>
      </c:scatterChart>
      <c:valAx>
        <c:axId val="9471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3120"/>
        <c:crosses val="autoZero"/>
        <c:crossBetween val="midCat"/>
      </c:valAx>
      <c:valAx>
        <c:axId val="947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Sheet1!$C$56:$C$57</c:f>
              <c:strCache>
                <c:ptCount val="2"/>
                <c:pt idx="0">
                  <c:v>Red LED</c:v>
                </c:pt>
                <c:pt idx="1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Sheet1!$B$58:$B$67</c:f>
              <c:numCache>
                <c:formatCode>General</c:formatCode>
                <c:ptCount val="10"/>
                <c:pt idx="0">
                  <c:v>0.3</c:v>
                </c:pt>
                <c:pt idx="1">
                  <c:v>0.5</c:v>
                </c:pt>
                <c:pt idx="2">
                  <c:v>0.88</c:v>
                </c:pt>
                <c:pt idx="3">
                  <c:v>1.64</c:v>
                </c:pt>
                <c:pt idx="4">
                  <c:v>1.79</c:v>
                </c:pt>
                <c:pt idx="5">
                  <c:v>1.85</c:v>
                </c:pt>
                <c:pt idx="6">
                  <c:v>1.9</c:v>
                </c:pt>
                <c:pt idx="7">
                  <c:v>1.95</c:v>
                </c:pt>
                <c:pt idx="8">
                  <c:v>2</c:v>
                </c:pt>
                <c:pt idx="9">
                  <c:v>2.0099999999999998</c:v>
                </c:pt>
              </c:numCache>
            </c:numRef>
          </c:xVal>
          <c:yVal>
            <c:numRef>
              <c:f>Sheet1!$C$58:$C$67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1E-4</c:v>
                </c:pt>
                <c:pt idx="4">
                  <c:v>1E-3</c:v>
                </c:pt>
                <c:pt idx="5">
                  <c:v>2.3999999999999998E-3</c:v>
                </c:pt>
                <c:pt idx="6">
                  <c:v>4.8999999999999998E-3</c:v>
                </c:pt>
                <c:pt idx="7">
                  <c:v>8.1000000000000013E-3</c:v>
                </c:pt>
                <c:pt idx="8">
                  <c:v>1.3000000000000001E-2</c:v>
                </c:pt>
                <c:pt idx="9">
                  <c:v>1.3999999999999999E-2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5D-402C-AC42-A557A06FF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01648"/>
        <c:axId val="69402128"/>
      </c:scatterChart>
      <c:valAx>
        <c:axId val="694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2128"/>
        <c:crosses val="autoZero"/>
        <c:crossBetween val="midCat"/>
      </c:valAx>
      <c:valAx>
        <c:axId val="694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Sheet1!$C$76:$C$77</c:f>
              <c:strCache>
                <c:ptCount val="2"/>
                <c:pt idx="0">
                  <c:v>White LED</c:v>
                </c:pt>
                <c:pt idx="1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Sheet1!$B$78:$B$88</c:f>
              <c:numCache>
                <c:formatCode>General</c:formatCode>
                <c:ptCount val="11"/>
                <c:pt idx="0">
                  <c:v>2</c:v>
                </c:pt>
                <c:pt idx="1">
                  <c:v>2.2599999999999998</c:v>
                </c:pt>
                <c:pt idx="2">
                  <c:v>2.4900000000000002</c:v>
                </c:pt>
                <c:pt idx="3">
                  <c:v>2.5499999999999998</c:v>
                </c:pt>
                <c:pt idx="4">
                  <c:v>2.6</c:v>
                </c:pt>
                <c:pt idx="5">
                  <c:v>2.65</c:v>
                </c:pt>
                <c:pt idx="6">
                  <c:v>2.7</c:v>
                </c:pt>
                <c:pt idx="7">
                  <c:v>2.73</c:v>
                </c:pt>
                <c:pt idx="8">
                  <c:v>2.76</c:v>
                </c:pt>
                <c:pt idx="9">
                  <c:v>2.8</c:v>
                </c:pt>
                <c:pt idx="10">
                  <c:v>2.83</c:v>
                </c:pt>
              </c:numCache>
            </c:numRef>
          </c:xVal>
          <c:yVal>
            <c:numRef>
              <c:f>Sheet1!$C$78:$C$88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1E-4</c:v>
                </c:pt>
                <c:pt idx="3">
                  <c:v>2.9999999999999997E-4</c:v>
                </c:pt>
                <c:pt idx="4">
                  <c:v>7.000000000000001E-4</c:v>
                </c:pt>
                <c:pt idx="5">
                  <c:v>1.7000000000000001E-3</c:v>
                </c:pt>
                <c:pt idx="6">
                  <c:v>3.5999999999999999E-3</c:v>
                </c:pt>
                <c:pt idx="7">
                  <c:v>4.4000000000000003E-3</c:v>
                </c:pt>
                <c:pt idx="8">
                  <c:v>5.6000000000000008E-3</c:v>
                </c:pt>
                <c:pt idx="9">
                  <c:v>8.0000000000000002E-3</c:v>
                </c:pt>
                <c:pt idx="10">
                  <c:v>9.1999999999999998E-3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B7-4592-B657-52CF8A1B1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680048"/>
        <c:axId val="270676688"/>
      </c:scatterChart>
      <c:valAx>
        <c:axId val="27068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76688"/>
        <c:crosses val="autoZero"/>
        <c:crossBetween val="midCat"/>
      </c:valAx>
      <c:valAx>
        <c:axId val="2706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8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Sheet1!$B$2:$B$15</c:f>
              <c:numCache>
                <c:formatCode>General</c:formatCode>
                <c:ptCount val="14"/>
                <c:pt idx="0">
                  <c:v>0.105</c:v>
                </c:pt>
                <c:pt idx="1">
                  <c:v>0.38800000000000001</c:v>
                </c:pt>
                <c:pt idx="2">
                  <c:v>0.49299999999999999</c:v>
                </c:pt>
                <c:pt idx="3">
                  <c:v>0.6</c:v>
                </c:pt>
                <c:pt idx="4">
                  <c:v>0.625</c:v>
                </c:pt>
                <c:pt idx="5">
                  <c:v>0.65</c:v>
                </c:pt>
                <c:pt idx="6">
                  <c:v>0.69299999999999995</c:v>
                </c:pt>
                <c:pt idx="7">
                  <c:v>0.70199999999999996</c:v>
                </c:pt>
                <c:pt idx="8">
                  <c:v>0.70499999999999996</c:v>
                </c:pt>
                <c:pt idx="9">
                  <c:v>0.71699999999999997</c:v>
                </c:pt>
                <c:pt idx="10">
                  <c:v>0.72499999999999998</c:v>
                </c:pt>
                <c:pt idx="11">
                  <c:v>0.74</c:v>
                </c:pt>
                <c:pt idx="12">
                  <c:v>0.749</c:v>
                </c:pt>
                <c:pt idx="13">
                  <c:v>0.76900000000000002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8.9999999999999998E-4</c:v>
                </c:pt>
                <c:pt idx="3">
                  <c:v>8.5999999999999998E-4</c:v>
                </c:pt>
                <c:pt idx="4">
                  <c:v>1.4299999999999998E-3</c:v>
                </c:pt>
                <c:pt idx="5">
                  <c:v>2.3599999999999997E-3</c:v>
                </c:pt>
                <c:pt idx="6">
                  <c:v>5.47E-3</c:v>
                </c:pt>
                <c:pt idx="7">
                  <c:v>6.3400000000000001E-3</c:v>
                </c:pt>
                <c:pt idx="8">
                  <c:v>6.7300000000000007E-3</c:v>
                </c:pt>
                <c:pt idx="9">
                  <c:v>8.2299999999999995E-3</c:v>
                </c:pt>
                <c:pt idx="10">
                  <c:v>9.8099999999999993E-3</c:v>
                </c:pt>
                <c:pt idx="11">
                  <c:v>1.2529999999999999E-2</c:v>
                </c:pt>
                <c:pt idx="12">
                  <c:v>1.4650000000000002E-2</c:v>
                </c:pt>
                <c:pt idx="13">
                  <c:v>2.0099999999999996E-2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E0-40F8-A717-3FA3F8DBE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780224"/>
        <c:axId val="287780704"/>
      </c:scatterChart>
      <c:valAx>
        <c:axId val="28778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80704"/>
        <c:crosses val="autoZero"/>
        <c:crossBetween val="midCat"/>
      </c:valAx>
      <c:valAx>
        <c:axId val="2877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8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Sheet1!$E$4:$E$15</c:f>
              <c:numCache>
                <c:formatCode>General</c:formatCode>
                <c:ptCount val="12"/>
                <c:pt idx="0">
                  <c:v>-3.0457574905606752</c:v>
                </c:pt>
                <c:pt idx="1">
                  <c:v>-3.0655015487564321</c:v>
                </c:pt>
                <c:pt idx="2">
                  <c:v>-2.8446639625349381</c:v>
                </c:pt>
                <c:pt idx="3">
                  <c:v>-2.6270879970298933</c:v>
                </c:pt>
                <c:pt idx="4">
                  <c:v>-2.2620126736665691</c:v>
                </c:pt>
                <c:pt idx="5">
                  <c:v>-2.1979107421182671</c:v>
                </c:pt>
                <c:pt idx="6">
                  <c:v>-2.171984935776023</c:v>
                </c:pt>
                <c:pt idx="7">
                  <c:v>-2.0846001647877301</c:v>
                </c:pt>
                <c:pt idx="8">
                  <c:v>-2.0083309926200514</c:v>
                </c:pt>
                <c:pt idx="9">
                  <c:v>-1.90204892900585</c:v>
                </c:pt>
                <c:pt idx="10">
                  <c:v>-1.8341623753098717</c:v>
                </c:pt>
                <c:pt idx="11">
                  <c:v>-1.6968039425795112</c:v>
                </c:pt>
              </c:numCache>
            </c:numRef>
          </c:xVal>
          <c:yVal>
            <c:numRef>
              <c:f>Sheet1!$F$4:$F$15</c:f>
              <c:numCache>
                <c:formatCode>General</c:formatCode>
                <c:ptCount val="12"/>
                <c:pt idx="0">
                  <c:v>0.49299999999999999</c:v>
                </c:pt>
                <c:pt idx="1">
                  <c:v>0.6</c:v>
                </c:pt>
                <c:pt idx="2">
                  <c:v>0.625</c:v>
                </c:pt>
                <c:pt idx="3">
                  <c:v>0.65</c:v>
                </c:pt>
                <c:pt idx="4">
                  <c:v>0.69299999999999995</c:v>
                </c:pt>
                <c:pt idx="5">
                  <c:v>0.70199999999999996</c:v>
                </c:pt>
                <c:pt idx="6">
                  <c:v>0.70499999999999996</c:v>
                </c:pt>
                <c:pt idx="7">
                  <c:v>0.71699999999999997</c:v>
                </c:pt>
                <c:pt idx="8">
                  <c:v>0.72499999999999998</c:v>
                </c:pt>
                <c:pt idx="9">
                  <c:v>0.74</c:v>
                </c:pt>
                <c:pt idx="10">
                  <c:v>0.749</c:v>
                </c:pt>
                <c:pt idx="11">
                  <c:v>0.76900000000000002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D5-4EF5-B419-E6265D5F5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13344"/>
        <c:axId val="65513824"/>
      </c:scatterChart>
      <c:valAx>
        <c:axId val="6551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3824"/>
        <c:crosses val="autoZero"/>
        <c:crossBetween val="midCat"/>
      </c:valAx>
      <c:valAx>
        <c:axId val="655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Sheet1!$E$22:$E$29</c:f>
              <c:numCache>
                <c:formatCode>General</c:formatCode>
                <c:ptCount val="8"/>
                <c:pt idx="0">
                  <c:v>-4</c:v>
                </c:pt>
                <c:pt idx="1">
                  <c:v>-3.6989700043360187</c:v>
                </c:pt>
                <c:pt idx="2">
                  <c:v>-3.1549019599857431</c:v>
                </c:pt>
                <c:pt idx="3">
                  <c:v>-2.8860566476931631</c:v>
                </c:pt>
                <c:pt idx="4">
                  <c:v>-2.5686362358410126</c:v>
                </c:pt>
                <c:pt idx="5">
                  <c:v>-2.3565473235138126</c:v>
                </c:pt>
                <c:pt idx="6">
                  <c:v>-2.1870866433571443</c:v>
                </c:pt>
                <c:pt idx="7">
                  <c:v>-2.0409586076789066</c:v>
                </c:pt>
              </c:numCache>
            </c:numRef>
          </c:xVal>
          <c:yVal>
            <c:numRef>
              <c:f>Sheet1!$F$22:$F$29</c:f>
              <c:numCache>
                <c:formatCode>General</c:formatCode>
                <c:ptCount val="8"/>
                <c:pt idx="0">
                  <c:v>2.2999999999999998</c:v>
                </c:pt>
                <c:pt idx="1">
                  <c:v>2.5</c:v>
                </c:pt>
                <c:pt idx="2">
                  <c:v>2.56</c:v>
                </c:pt>
                <c:pt idx="3">
                  <c:v>2.6</c:v>
                </c:pt>
                <c:pt idx="4">
                  <c:v>2.65</c:v>
                </c:pt>
                <c:pt idx="5">
                  <c:v>2.7</c:v>
                </c:pt>
                <c:pt idx="6">
                  <c:v>2.75</c:v>
                </c:pt>
                <c:pt idx="7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3D-48B7-82EE-54A472B87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42624"/>
        <c:axId val="65553184"/>
      </c:scatterChart>
      <c:valAx>
        <c:axId val="655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3184"/>
        <c:crosses val="autoZero"/>
        <c:crossBetween val="midCat"/>
      </c:valAx>
      <c:valAx>
        <c:axId val="655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4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Sheet1!$E$43:$E$53</c:f>
              <c:numCache>
                <c:formatCode>General</c:formatCode>
                <c:ptCount val="11"/>
                <c:pt idx="0">
                  <c:v>-4</c:v>
                </c:pt>
                <c:pt idx="1">
                  <c:v>-3.6989700043360187</c:v>
                </c:pt>
                <c:pt idx="2">
                  <c:v>-3.1549019599857431</c:v>
                </c:pt>
                <c:pt idx="3">
                  <c:v>-2.8860566476931631</c:v>
                </c:pt>
                <c:pt idx="4">
                  <c:v>-2.7212463990471711</c:v>
                </c:pt>
                <c:pt idx="5">
                  <c:v>-2.6020599913279625</c:v>
                </c:pt>
                <c:pt idx="6">
                  <c:v>-2.4089353929735009</c:v>
                </c:pt>
                <c:pt idx="7">
                  <c:v>-2.3279021420642825</c:v>
                </c:pt>
                <c:pt idx="8">
                  <c:v>-2.2218487496163561</c:v>
                </c:pt>
                <c:pt idx="9">
                  <c:v>-2.1135092748275182</c:v>
                </c:pt>
                <c:pt idx="10">
                  <c:v>-2.0362121726544449</c:v>
                </c:pt>
              </c:numCache>
            </c:numRef>
          </c:xVal>
          <c:yVal>
            <c:numRef>
              <c:f>Sheet1!$F$43:$F$53</c:f>
              <c:numCache>
                <c:formatCode>General</c:formatCode>
                <c:ptCount val="11"/>
                <c:pt idx="0">
                  <c:v>2.0699999999999998</c:v>
                </c:pt>
                <c:pt idx="1">
                  <c:v>2.19</c:v>
                </c:pt>
                <c:pt idx="2">
                  <c:v>2.31</c:v>
                </c:pt>
                <c:pt idx="3">
                  <c:v>2.4</c:v>
                </c:pt>
                <c:pt idx="4">
                  <c:v>2.4500000000000002</c:v>
                </c:pt>
                <c:pt idx="5">
                  <c:v>2.5</c:v>
                </c:pt>
                <c:pt idx="6">
                  <c:v>2.6</c:v>
                </c:pt>
                <c:pt idx="7">
                  <c:v>2.65</c:v>
                </c:pt>
                <c:pt idx="8">
                  <c:v>2.73</c:v>
                </c:pt>
                <c:pt idx="9">
                  <c:v>2.8</c:v>
                </c:pt>
                <c:pt idx="10">
                  <c:v>2.87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9A-4A1A-A5DB-CAF977448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19888"/>
        <c:axId val="69418448"/>
      </c:scatterChart>
      <c:valAx>
        <c:axId val="6941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18448"/>
        <c:crosses val="autoZero"/>
        <c:crossBetween val="midCat"/>
      </c:valAx>
      <c:valAx>
        <c:axId val="694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1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Sheet1!$E$61:$E$67</c:f>
              <c:numCache>
                <c:formatCode>General</c:formatCode>
                <c:ptCount val="7"/>
                <c:pt idx="0">
                  <c:v>-4</c:v>
                </c:pt>
                <c:pt idx="1">
                  <c:v>-3</c:v>
                </c:pt>
                <c:pt idx="2">
                  <c:v>-2.6197887582883941</c:v>
                </c:pt>
                <c:pt idx="3">
                  <c:v>-2.3098039199714862</c:v>
                </c:pt>
                <c:pt idx="4">
                  <c:v>-2.09151498112135</c:v>
                </c:pt>
                <c:pt idx="5">
                  <c:v>-1.8860566476931633</c:v>
                </c:pt>
                <c:pt idx="6">
                  <c:v>-1.853871964321762</c:v>
                </c:pt>
              </c:numCache>
            </c:numRef>
          </c:xVal>
          <c:yVal>
            <c:numRef>
              <c:f>Sheet1!$F$61:$F$67</c:f>
              <c:numCache>
                <c:formatCode>General</c:formatCode>
                <c:ptCount val="7"/>
                <c:pt idx="0">
                  <c:v>1.64</c:v>
                </c:pt>
                <c:pt idx="1">
                  <c:v>1.79</c:v>
                </c:pt>
                <c:pt idx="2">
                  <c:v>1.85</c:v>
                </c:pt>
                <c:pt idx="3">
                  <c:v>1.9</c:v>
                </c:pt>
                <c:pt idx="4">
                  <c:v>1.95</c:v>
                </c:pt>
                <c:pt idx="5">
                  <c:v>2</c:v>
                </c:pt>
                <c:pt idx="6">
                  <c:v>2.0099999999999998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DC-452D-92E1-16E95AC1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69728"/>
        <c:axId val="287765824"/>
      </c:scatterChart>
      <c:valAx>
        <c:axId val="10056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65824"/>
        <c:crosses val="autoZero"/>
        <c:crossBetween val="midCat"/>
      </c:valAx>
      <c:valAx>
        <c:axId val="2877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Sheet1!$E$80:$E$88</c:f>
              <c:numCache>
                <c:formatCode>General</c:formatCode>
                <c:ptCount val="9"/>
                <c:pt idx="0">
                  <c:v>-4</c:v>
                </c:pt>
                <c:pt idx="1">
                  <c:v>-3.5228787452803374</c:v>
                </c:pt>
                <c:pt idx="2">
                  <c:v>-3.1549019599857431</c:v>
                </c:pt>
                <c:pt idx="3">
                  <c:v>-2.7695510786217259</c:v>
                </c:pt>
                <c:pt idx="4">
                  <c:v>-2.4436974992327127</c:v>
                </c:pt>
                <c:pt idx="5">
                  <c:v>-2.3565473235138126</c:v>
                </c:pt>
                <c:pt idx="6">
                  <c:v>-2.2518119729937993</c:v>
                </c:pt>
                <c:pt idx="7">
                  <c:v>-2.0969100130080562</c:v>
                </c:pt>
                <c:pt idx="8">
                  <c:v>-2.0362121726544449</c:v>
                </c:pt>
              </c:numCache>
            </c:numRef>
          </c:xVal>
          <c:yVal>
            <c:numRef>
              <c:f>Sheet1!$F$80:$F$88</c:f>
              <c:numCache>
                <c:formatCode>General</c:formatCode>
                <c:ptCount val="9"/>
                <c:pt idx="0">
                  <c:v>2.4900000000000002</c:v>
                </c:pt>
                <c:pt idx="1">
                  <c:v>2.5499999999999998</c:v>
                </c:pt>
                <c:pt idx="2">
                  <c:v>2.6</c:v>
                </c:pt>
                <c:pt idx="3">
                  <c:v>2.65</c:v>
                </c:pt>
                <c:pt idx="4">
                  <c:v>2.7</c:v>
                </c:pt>
                <c:pt idx="5">
                  <c:v>2.73</c:v>
                </c:pt>
                <c:pt idx="6">
                  <c:v>2.76</c:v>
                </c:pt>
                <c:pt idx="7">
                  <c:v>2.8</c:v>
                </c:pt>
                <c:pt idx="8">
                  <c:v>2.83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A0-43E1-882D-4727D759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787424"/>
        <c:axId val="287788384"/>
      </c:scatterChart>
      <c:valAx>
        <c:axId val="28778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88384"/>
        <c:crosses val="autoZero"/>
        <c:crossBetween val="midCat"/>
      </c:valAx>
      <c:valAx>
        <c:axId val="2877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8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Sheet1!$C$95</c:f>
              <c:strCache>
                <c:ptCount val="1"/>
                <c:pt idx="0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Sheet1!$B$96:$B$107</c:f>
              <c:numCache>
                <c:formatCode>General</c:formatCode>
                <c:ptCount val="12"/>
                <c:pt idx="0">
                  <c:v>0.04</c:v>
                </c:pt>
                <c:pt idx="1">
                  <c:v>0.98</c:v>
                </c:pt>
                <c:pt idx="2">
                  <c:v>1.1399999999999999</c:v>
                </c:pt>
                <c:pt idx="3">
                  <c:v>1.29</c:v>
                </c:pt>
                <c:pt idx="4">
                  <c:v>1.73</c:v>
                </c:pt>
                <c:pt idx="5">
                  <c:v>1.96</c:v>
                </c:pt>
                <c:pt idx="6">
                  <c:v>2.13</c:v>
                </c:pt>
                <c:pt idx="7">
                  <c:v>2.61</c:v>
                </c:pt>
                <c:pt idx="8">
                  <c:v>2.98</c:v>
                </c:pt>
                <c:pt idx="9">
                  <c:v>3.5</c:v>
                </c:pt>
                <c:pt idx="10">
                  <c:v>4.01</c:v>
                </c:pt>
                <c:pt idx="11">
                  <c:v>4.07</c:v>
                </c:pt>
              </c:numCache>
            </c:numRef>
          </c:xVal>
          <c:yVal>
            <c:numRef>
              <c:f>Sheet1!$C$96:$C$107</c:f>
              <c:numCache>
                <c:formatCode>General</c:formatCode>
                <c:ptCount val="12"/>
                <c:pt idx="0">
                  <c:v>0</c:v>
                </c:pt>
                <c:pt idx="1">
                  <c:v>8.0000000000000004E-4</c:v>
                </c:pt>
                <c:pt idx="2">
                  <c:v>8.9999999999999998E-4</c:v>
                </c:pt>
                <c:pt idx="3">
                  <c:v>1E-3</c:v>
                </c:pt>
                <c:pt idx="4">
                  <c:v>1.2999999999999999E-3</c:v>
                </c:pt>
                <c:pt idx="5">
                  <c:v>1.5E-3</c:v>
                </c:pt>
                <c:pt idx="6">
                  <c:v>1.6000000000000001E-3</c:v>
                </c:pt>
                <c:pt idx="7">
                  <c:v>1.9E-3</c:v>
                </c:pt>
                <c:pt idx="8">
                  <c:v>2.0999999999999999E-3</c:v>
                </c:pt>
                <c:pt idx="9">
                  <c:v>2.3999999999999998E-3</c:v>
                </c:pt>
                <c:pt idx="10">
                  <c:v>2.7000000000000001E-3</c:v>
                </c:pt>
                <c:pt idx="11">
                  <c:v>2.8000000000000004E-3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B8-4666-B2EE-B54121588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40032"/>
        <c:axId val="415323712"/>
      </c:scatterChart>
      <c:valAx>
        <c:axId val="41534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23712"/>
        <c:crosses val="autoZero"/>
        <c:crossBetween val="midCat"/>
      </c:valAx>
      <c:valAx>
        <c:axId val="4153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4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Sheet1!$E$97:$E$107</c:f>
              <c:numCache>
                <c:formatCode>General</c:formatCode>
                <c:ptCount val="11"/>
                <c:pt idx="0">
                  <c:v>-3.0969100130080562</c:v>
                </c:pt>
                <c:pt idx="1">
                  <c:v>-3.0457574905606752</c:v>
                </c:pt>
                <c:pt idx="2">
                  <c:v>-3</c:v>
                </c:pt>
                <c:pt idx="3">
                  <c:v>-2.8860566476931631</c:v>
                </c:pt>
                <c:pt idx="4">
                  <c:v>-2.8239087409443187</c:v>
                </c:pt>
                <c:pt idx="5">
                  <c:v>-2.795880017344075</c:v>
                </c:pt>
                <c:pt idx="6">
                  <c:v>-2.7212463990471711</c:v>
                </c:pt>
                <c:pt idx="7">
                  <c:v>-2.6777807052660809</c:v>
                </c:pt>
                <c:pt idx="8">
                  <c:v>-2.6197887582883941</c:v>
                </c:pt>
                <c:pt idx="9">
                  <c:v>-2.5686362358410126</c:v>
                </c:pt>
                <c:pt idx="10">
                  <c:v>-2.5528419686577806</c:v>
                </c:pt>
              </c:numCache>
            </c:numRef>
          </c:xVal>
          <c:yVal>
            <c:numRef>
              <c:f>Sheet1!$F$97:$F$107</c:f>
              <c:numCache>
                <c:formatCode>General</c:formatCode>
                <c:ptCount val="11"/>
                <c:pt idx="0">
                  <c:v>0.98</c:v>
                </c:pt>
                <c:pt idx="1">
                  <c:v>1.1399999999999999</c:v>
                </c:pt>
                <c:pt idx="2">
                  <c:v>1.29</c:v>
                </c:pt>
                <c:pt idx="3">
                  <c:v>1.73</c:v>
                </c:pt>
                <c:pt idx="4">
                  <c:v>1.96</c:v>
                </c:pt>
                <c:pt idx="5">
                  <c:v>2.13</c:v>
                </c:pt>
                <c:pt idx="6">
                  <c:v>2.61</c:v>
                </c:pt>
                <c:pt idx="7">
                  <c:v>2.98</c:v>
                </c:pt>
                <c:pt idx="8">
                  <c:v>3.5</c:v>
                </c:pt>
                <c:pt idx="9">
                  <c:v>4.01</c:v>
                </c:pt>
                <c:pt idx="10">
                  <c:v>4.07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0C-4C4C-BD3A-577909423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764864"/>
        <c:axId val="287770144"/>
      </c:scatterChart>
      <c:valAx>
        <c:axId val="28776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70144"/>
        <c:crosses val="autoZero"/>
        <c:crossBetween val="midCat"/>
      </c:valAx>
      <c:valAx>
        <c:axId val="28777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6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Sheet1!$C$110</c:f>
              <c:strCache>
                <c:ptCount val="1"/>
                <c:pt idx="0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Sheet1!$B$111:$B$129</c:f>
              <c:numCache>
                <c:formatCode>General</c:formatCode>
                <c:ptCount val="19"/>
                <c:pt idx="0">
                  <c:v>0</c:v>
                </c:pt>
                <c:pt idx="1">
                  <c:v>9.1999999999999998E-2</c:v>
                </c:pt>
                <c:pt idx="2">
                  <c:v>0.113</c:v>
                </c:pt>
                <c:pt idx="3">
                  <c:v>0.13400000000000001</c:v>
                </c:pt>
                <c:pt idx="4">
                  <c:v>0.14099999999999999</c:v>
                </c:pt>
                <c:pt idx="5">
                  <c:v>0.155</c:v>
                </c:pt>
                <c:pt idx="6">
                  <c:v>0.16400000000000001</c:v>
                </c:pt>
                <c:pt idx="7">
                  <c:v>0.17100000000000001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0.20499999999999999</c:v>
                </c:pt>
                <c:pt idx="12">
                  <c:v>0.21</c:v>
                </c:pt>
                <c:pt idx="13">
                  <c:v>0.215</c:v>
                </c:pt>
                <c:pt idx="14">
                  <c:v>0.22</c:v>
                </c:pt>
                <c:pt idx="15">
                  <c:v>0.22500000000000001</c:v>
                </c:pt>
                <c:pt idx="16">
                  <c:v>0.23</c:v>
                </c:pt>
                <c:pt idx="17">
                  <c:v>0.24</c:v>
                </c:pt>
                <c:pt idx="18">
                  <c:v>0.245</c:v>
                </c:pt>
              </c:numCache>
            </c:numRef>
          </c:xVal>
          <c:yVal>
            <c:numRef>
              <c:f>Sheet1!$C$111:$C$129</c:f>
              <c:numCache>
                <c:formatCode>General</c:formatCode>
                <c:ptCount val="19"/>
                <c:pt idx="0">
                  <c:v>0</c:v>
                </c:pt>
                <c:pt idx="1">
                  <c:v>6.0000000000000002E-5</c:v>
                </c:pt>
                <c:pt idx="2">
                  <c:v>1.6000000000000001E-4</c:v>
                </c:pt>
                <c:pt idx="3">
                  <c:v>3.6999999999999999E-4</c:v>
                </c:pt>
                <c:pt idx="4">
                  <c:v>4.8000000000000001E-4</c:v>
                </c:pt>
                <c:pt idx="5">
                  <c:v>8.0000000000000004E-4</c:v>
                </c:pt>
                <c:pt idx="6">
                  <c:v>1.1299999999999999E-3</c:v>
                </c:pt>
                <c:pt idx="7">
                  <c:v>1.5100000000000001E-3</c:v>
                </c:pt>
                <c:pt idx="8">
                  <c:v>2.0599999999999998E-3</c:v>
                </c:pt>
                <c:pt idx="9">
                  <c:v>2.98E-3</c:v>
                </c:pt>
                <c:pt idx="10">
                  <c:v>4.4299999999999999E-3</c:v>
                </c:pt>
                <c:pt idx="11">
                  <c:v>5.3500000000000006E-3</c:v>
                </c:pt>
                <c:pt idx="12">
                  <c:v>6.3699999999999998E-3</c:v>
                </c:pt>
                <c:pt idx="13">
                  <c:v>7.7400000000000004E-3</c:v>
                </c:pt>
                <c:pt idx="14">
                  <c:v>9.41E-3</c:v>
                </c:pt>
                <c:pt idx="15">
                  <c:v>1.158E-2</c:v>
                </c:pt>
                <c:pt idx="16">
                  <c:v>1.4250000000000001E-2</c:v>
                </c:pt>
                <c:pt idx="17">
                  <c:v>1.9769999999999999E-2</c:v>
                </c:pt>
                <c:pt idx="18">
                  <c:v>2.3399999999999997E-2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D-4161-AC2B-0AA910618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030864"/>
        <c:axId val="1999014544"/>
      </c:scatterChart>
      <c:valAx>
        <c:axId val="199903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14544"/>
        <c:crosses val="autoZero"/>
        <c:crossBetween val="midCat"/>
      </c:valAx>
      <c:valAx>
        <c:axId val="19990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3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Sheet1!$E$112:$E$129</c:f>
              <c:numCache>
                <c:formatCode>General</c:formatCode>
                <c:ptCount val="18"/>
                <c:pt idx="0">
                  <c:v>-4.2218487496163561</c:v>
                </c:pt>
                <c:pt idx="1">
                  <c:v>-3.795880017344075</c:v>
                </c:pt>
                <c:pt idx="2">
                  <c:v>-3.431798275933005</c:v>
                </c:pt>
                <c:pt idx="3">
                  <c:v>-3.3187587626244128</c:v>
                </c:pt>
                <c:pt idx="4">
                  <c:v>-3.0969100130080562</c:v>
                </c:pt>
                <c:pt idx="5">
                  <c:v>-2.9469215565165805</c:v>
                </c:pt>
                <c:pt idx="6">
                  <c:v>-2.8210230527068307</c:v>
                </c:pt>
                <c:pt idx="7">
                  <c:v>-2.6861327796308467</c:v>
                </c:pt>
                <c:pt idx="8">
                  <c:v>-2.5257837359237447</c:v>
                </c:pt>
                <c:pt idx="9">
                  <c:v>-2.3535962737769305</c:v>
                </c:pt>
                <c:pt idx="10">
                  <c:v>-2.2716462179787715</c:v>
                </c:pt>
                <c:pt idx="11">
                  <c:v>-2.1958605676646497</c:v>
                </c:pt>
                <c:pt idx="12">
                  <c:v>-2.1112590393171073</c:v>
                </c:pt>
                <c:pt idx="13">
                  <c:v>-2.026410376572743</c:v>
                </c:pt>
                <c:pt idx="14">
                  <c:v>-1.9362914406085827</c:v>
                </c:pt>
                <c:pt idx="15">
                  <c:v>-1.846185135655471</c:v>
                </c:pt>
                <c:pt idx="16">
                  <c:v>-1.7039933306863277</c:v>
                </c:pt>
                <c:pt idx="17">
                  <c:v>-1.6307841425898573</c:v>
                </c:pt>
              </c:numCache>
            </c:numRef>
          </c:xVal>
          <c:yVal>
            <c:numRef>
              <c:f>Sheet1!$F$112:$F$129</c:f>
              <c:numCache>
                <c:formatCode>General</c:formatCode>
                <c:ptCount val="18"/>
                <c:pt idx="0">
                  <c:v>0.92</c:v>
                </c:pt>
                <c:pt idx="1">
                  <c:v>0.113</c:v>
                </c:pt>
                <c:pt idx="2">
                  <c:v>0.13400000000000001</c:v>
                </c:pt>
                <c:pt idx="3">
                  <c:v>0.14099999999999999</c:v>
                </c:pt>
                <c:pt idx="4">
                  <c:v>0.155</c:v>
                </c:pt>
                <c:pt idx="5">
                  <c:v>0.16400000000000001</c:v>
                </c:pt>
                <c:pt idx="6">
                  <c:v>0.17100000000000001</c:v>
                </c:pt>
                <c:pt idx="7">
                  <c:v>0.18</c:v>
                </c:pt>
                <c:pt idx="8">
                  <c:v>0.19</c:v>
                </c:pt>
                <c:pt idx="9">
                  <c:v>0.2</c:v>
                </c:pt>
                <c:pt idx="10">
                  <c:v>0.20499999999999999</c:v>
                </c:pt>
                <c:pt idx="11">
                  <c:v>0.21</c:v>
                </c:pt>
                <c:pt idx="12">
                  <c:v>0.215</c:v>
                </c:pt>
                <c:pt idx="13">
                  <c:v>0.22</c:v>
                </c:pt>
                <c:pt idx="14">
                  <c:v>0.22500000000000001</c:v>
                </c:pt>
                <c:pt idx="15">
                  <c:v>0.23</c:v>
                </c:pt>
                <c:pt idx="16">
                  <c:v>0.24</c:v>
                </c:pt>
                <c:pt idx="17">
                  <c:v>0.245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0D-4B55-8C3F-77C736AA0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396336"/>
        <c:axId val="1307391344"/>
      </c:scatterChart>
      <c:valAx>
        <c:axId val="130739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91344"/>
        <c:crosses val="autoZero"/>
        <c:crossBetween val="midCat"/>
      </c:valAx>
      <c:valAx>
        <c:axId val="13073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9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96966</xdr:colOff>
      <xdr:row>17</xdr:row>
      <xdr:rowOff>170696</xdr:rowOff>
    </xdr:from>
    <xdr:to>
      <xdr:col>18</xdr:col>
      <xdr:colOff>401766</xdr:colOff>
      <xdr:row>32</xdr:row>
      <xdr:rowOff>170696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0F75DB-3C04-B476-64AB-69FCB2EFB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309406</xdr:colOff>
      <xdr:row>36</xdr:row>
      <xdr:rowOff>137202</xdr:rowOff>
    </xdr:from>
    <xdr:to>
      <xdr:col>16</xdr:col>
      <xdr:colOff>4606</xdr:colOff>
      <xdr:row>51</xdr:row>
      <xdr:rowOff>137202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96DB57-CA63-EF4A-44BB-8CCF4E27D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396240</xdr:colOff>
      <xdr:row>55</xdr:row>
      <xdr:rowOff>57150</xdr:rowOff>
    </xdr:from>
    <xdr:to>
      <xdr:col>16</xdr:col>
      <xdr:colOff>91440</xdr:colOff>
      <xdr:row>70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E49EBC-CEA0-4969-5966-CFBF30BF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434340</xdr:colOff>
      <xdr:row>73</xdr:row>
      <xdr:rowOff>179070</xdr:rowOff>
    </xdr:from>
    <xdr:to>
      <xdr:col>16</xdr:col>
      <xdr:colOff>129540</xdr:colOff>
      <xdr:row>88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B6AC4C-36A4-595D-A059-97B0ED81A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312420</xdr:colOff>
      <xdr:row>0</xdr:row>
      <xdr:rowOff>49530</xdr:rowOff>
    </xdr:from>
    <xdr:to>
      <xdr:col>16</xdr:col>
      <xdr:colOff>7620</xdr:colOff>
      <xdr:row>15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D86A1C-C8CE-3479-204F-7C313331F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68580</xdr:colOff>
      <xdr:row>0</xdr:row>
      <xdr:rowOff>57150</xdr:rowOff>
    </xdr:from>
    <xdr:to>
      <xdr:col>23</xdr:col>
      <xdr:colOff>373380</xdr:colOff>
      <xdr:row>15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A066C39-5935-BFAD-6E65-435E06405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394147</xdr:colOff>
      <xdr:row>17</xdr:row>
      <xdr:rowOff>140217</xdr:rowOff>
    </xdr:from>
    <xdr:to>
      <xdr:col>27</xdr:col>
      <xdr:colOff>89347</xdr:colOff>
      <xdr:row>32</xdr:row>
      <xdr:rowOff>140217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69303D-B792-CB0E-54CF-B9DB40C14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601980</xdr:colOff>
      <xdr:row>36</xdr:row>
      <xdr:rowOff>163830</xdr:rowOff>
    </xdr:from>
    <xdr:to>
      <xdr:col>23</xdr:col>
      <xdr:colOff>297180</xdr:colOff>
      <xdr:row>51</xdr:row>
      <xdr:rowOff>163830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724FD7D-E352-262C-3150-8BB5DD230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137160</xdr:colOff>
      <xdr:row>54</xdr:row>
      <xdr:rowOff>148590</xdr:rowOff>
    </xdr:from>
    <xdr:to>
      <xdr:col>23</xdr:col>
      <xdr:colOff>441960</xdr:colOff>
      <xdr:row>69</xdr:row>
      <xdr:rowOff>148590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C10170-8DCA-9BEA-2350-975DFD04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220980</xdr:colOff>
      <xdr:row>73</xdr:row>
      <xdr:rowOff>163830</xdr:rowOff>
    </xdr:from>
    <xdr:to>
      <xdr:col>23</xdr:col>
      <xdr:colOff>525780</xdr:colOff>
      <xdr:row>88</xdr:row>
      <xdr:rowOff>163830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E860FD-8B87-420D-5E6C-8C9191321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68580</xdr:colOff>
      <xdr:row>91</xdr:row>
      <xdr:rowOff>148590</xdr:rowOff>
    </xdr:from>
    <xdr:to>
      <xdr:col>14</xdr:col>
      <xdr:colOff>373380</xdr:colOff>
      <xdr:row>106</xdr:row>
      <xdr:rowOff>148590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7F71450-A428-702A-814E-5870E558B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266700</xdr:colOff>
      <xdr:row>91</xdr:row>
      <xdr:rowOff>148590</xdr:rowOff>
    </xdr:from>
    <xdr:to>
      <xdr:col>22</xdr:col>
      <xdr:colOff>571500</xdr:colOff>
      <xdr:row>106</xdr:row>
      <xdr:rowOff>148590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D202F07-843B-0BA4-9730-827D699BE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68580</xdr:colOff>
      <xdr:row>108</xdr:row>
      <xdr:rowOff>148590</xdr:rowOff>
    </xdr:from>
    <xdr:to>
      <xdr:col>14</xdr:col>
      <xdr:colOff>373380</xdr:colOff>
      <xdr:row>123</xdr:row>
      <xdr:rowOff>148590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980B432-5F0E-A91A-7DE8-2880F72A6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494044</xdr:colOff>
      <xdr:row>108</xdr:row>
      <xdr:rowOff>72851</xdr:rowOff>
    </xdr:from>
    <xdr:to>
      <xdr:col>22</xdr:col>
      <xdr:colOff>175846</xdr:colOff>
      <xdr:row>123</xdr:row>
      <xdr:rowOff>52754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9"/>
  <sheetViews>
    <sheetView tabSelected="1" topLeftCell="A89" zoomScale="72" zoomScaleNormal="72" workbookViewId="0">
      <selection activeCell="E112" sqref="E112:F129"/>
    </sheetView>
  </sheetViews>
  <sheetFormatPr defaultRowHeight="14.4" x14ac:dyDescent="0.3"/>
  <cols>
    <col min="7" max="7" width="24.5546875" customWidth="1"/>
  </cols>
  <sheetData>
    <row r="1" spans="2:8" x14ac:dyDescent="0.3">
      <c r="B1" t="s">
        <v>0</v>
      </c>
      <c r="C1" t="s">
        <v>2</v>
      </c>
      <c r="D1" t="s">
        <v>1</v>
      </c>
      <c r="E1" t="s">
        <v>9</v>
      </c>
      <c r="F1" t="s">
        <v>0</v>
      </c>
    </row>
    <row r="2" spans="2:8" x14ac:dyDescent="0.3">
      <c r="B2">
        <v>0.105</v>
      </c>
      <c r="C2">
        <f t="shared" ref="C2:C15" si="0">D2/100</f>
        <v>0</v>
      </c>
      <c r="D2">
        <v>0</v>
      </c>
      <c r="E2" t="e">
        <f t="shared" ref="E2:E15" si="1">LOG10(C2)</f>
        <v>#NUM!</v>
      </c>
      <c r="F2">
        <v>0.105</v>
      </c>
    </row>
    <row r="3" spans="2:8" x14ac:dyDescent="0.3">
      <c r="B3">
        <v>0.38800000000000001</v>
      </c>
      <c r="C3">
        <f t="shared" si="0"/>
        <v>0</v>
      </c>
      <c r="D3">
        <v>0</v>
      </c>
      <c r="E3" t="e">
        <f t="shared" si="1"/>
        <v>#NUM!</v>
      </c>
      <c r="F3">
        <v>0.38800000000000001</v>
      </c>
      <c r="G3" t="s">
        <v>11</v>
      </c>
      <c r="H3">
        <f>SLOPE(F4:F15,E4:E15)</f>
        <v>0.15443621023465501</v>
      </c>
    </row>
    <row r="4" spans="2:8" x14ac:dyDescent="0.3">
      <c r="B4">
        <v>0.49299999999999999</v>
      </c>
      <c r="C4">
        <f t="shared" si="0"/>
        <v>8.9999999999999998E-4</v>
      </c>
      <c r="D4">
        <v>0.09</v>
      </c>
      <c r="E4">
        <f t="shared" si="1"/>
        <v>-3.0457574905606752</v>
      </c>
      <c r="F4">
        <v>0.49299999999999999</v>
      </c>
    </row>
    <row r="5" spans="2:8" x14ac:dyDescent="0.3">
      <c r="B5">
        <v>0.6</v>
      </c>
      <c r="C5">
        <f t="shared" si="0"/>
        <v>8.5999999999999998E-4</v>
      </c>
      <c r="D5">
        <v>8.5999999999999993E-2</v>
      </c>
      <c r="E5">
        <f t="shared" si="1"/>
        <v>-3.0655015487564321</v>
      </c>
      <c r="F5">
        <v>0.6</v>
      </c>
      <c r="G5" t="s">
        <v>13</v>
      </c>
      <c r="H5">
        <f>INTERCEPT(F4:F15,E4:E15)</f>
        <v>1.0376828479826055</v>
      </c>
    </row>
    <row r="6" spans="2:8" x14ac:dyDescent="0.3">
      <c r="B6">
        <v>0.625</v>
      </c>
      <c r="C6">
        <f t="shared" si="0"/>
        <v>1.4299999999999998E-3</v>
      </c>
      <c r="D6">
        <v>0.14299999999999999</v>
      </c>
      <c r="E6">
        <f t="shared" si="1"/>
        <v>-2.8446639625349381</v>
      </c>
      <c r="F6">
        <v>0.625</v>
      </c>
    </row>
    <row r="7" spans="2:8" x14ac:dyDescent="0.3">
      <c r="B7">
        <v>0.65</v>
      </c>
      <c r="C7">
        <f t="shared" si="0"/>
        <v>2.3599999999999997E-3</v>
      </c>
      <c r="D7">
        <v>0.23599999999999999</v>
      </c>
      <c r="E7">
        <f t="shared" si="1"/>
        <v>-2.6270879970298933</v>
      </c>
      <c r="F7">
        <v>0.65</v>
      </c>
    </row>
    <row r="8" spans="2:8" x14ac:dyDescent="0.3">
      <c r="B8">
        <v>0.69299999999999995</v>
      </c>
      <c r="C8">
        <f t="shared" si="0"/>
        <v>5.47E-3</v>
      </c>
      <c r="D8">
        <v>0.54700000000000004</v>
      </c>
      <c r="E8">
        <f t="shared" si="1"/>
        <v>-2.2620126736665691</v>
      </c>
      <c r="F8">
        <v>0.69299999999999995</v>
      </c>
    </row>
    <row r="9" spans="2:8" x14ac:dyDescent="0.3">
      <c r="B9">
        <v>0.70199999999999996</v>
      </c>
      <c r="C9">
        <f t="shared" si="0"/>
        <v>6.3400000000000001E-3</v>
      </c>
      <c r="D9">
        <v>0.63400000000000001</v>
      </c>
      <c r="E9">
        <f t="shared" si="1"/>
        <v>-2.1979107421182671</v>
      </c>
      <c r="F9">
        <v>0.70199999999999996</v>
      </c>
    </row>
    <row r="10" spans="2:8" x14ac:dyDescent="0.3">
      <c r="B10">
        <v>0.70499999999999996</v>
      </c>
      <c r="C10">
        <f t="shared" si="0"/>
        <v>6.7300000000000007E-3</v>
      </c>
      <c r="D10">
        <v>0.67300000000000004</v>
      </c>
      <c r="E10">
        <f t="shared" si="1"/>
        <v>-2.171984935776023</v>
      </c>
      <c r="F10">
        <v>0.70499999999999996</v>
      </c>
    </row>
    <row r="11" spans="2:8" x14ac:dyDescent="0.3">
      <c r="B11">
        <v>0.71699999999999997</v>
      </c>
      <c r="C11">
        <f t="shared" si="0"/>
        <v>8.2299999999999995E-3</v>
      </c>
      <c r="D11">
        <v>0.82299999999999995</v>
      </c>
      <c r="E11">
        <f t="shared" si="1"/>
        <v>-2.0846001647877301</v>
      </c>
      <c r="F11">
        <v>0.71699999999999997</v>
      </c>
    </row>
    <row r="12" spans="2:8" x14ac:dyDescent="0.3">
      <c r="B12">
        <v>0.72499999999999998</v>
      </c>
      <c r="C12">
        <f t="shared" si="0"/>
        <v>9.8099999999999993E-3</v>
      </c>
      <c r="D12">
        <v>0.98099999999999998</v>
      </c>
      <c r="E12">
        <f t="shared" si="1"/>
        <v>-2.0083309926200514</v>
      </c>
      <c r="F12">
        <v>0.72499999999999998</v>
      </c>
    </row>
    <row r="13" spans="2:8" x14ac:dyDescent="0.3">
      <c r="B13">
        <v>0.74</v>
      </c>
      <c r="C13">
        <f t="shared" si="0"/>
        <v>1.2529999999999999E-2</v>
      </c>
      <c r="D13">
        <v>1.2529999999999999</v>
      </c>
      <c r="E13">
        <f t="shared" si="1"/>
        <v>-1.90204892900585</v>
      </c>
      <c r="F13">
        <v>0.74</v>
      </c>
    </row>
    <row r="14" spans="2:8" x14ac:dyDescent="0.3">
      <c r="B14">
        <v>0.749</v>
      </c>
      <c r="C14">
        <f t="shared" si="0"/>
        <v>1.4650000000000002E-2</v>
      </c>
      <c r="D14">
        <v>1.4650000000000001</v>
      </c>
      <c r="E14">
        <f t="shared" si="1"/>
        <v>-1.8341623753098717</v>
      </c>
      <c r="F14">
        <v>0.749</v>
      </c>
    </row>
    <row r="15" spans="2:8" x14ac:dyDescent="0.3">
      <c r="B15">
        <v>0.76900000000000002</v>
      </c>
      <c r="C15">
        <f t="shared" si="0"/>
        <v>2.0099999999999996E-2</v>
      </c>
      <c r="D15">
        <v>2.0099999999999998</v>
      </c>
      <c r="E15">
        <f t="shared" si="1"/>
        <v>-1.6968039425795112</v>
      </c>
      <c r="F15">
        <v>0.76900000000000002</v>
      </c>
    </row>
    <row r="19" spans="2:10" x14ac:dyDescent="0.3">
      <c r="B19" t="s">
        <v>3</v>
      </c>
      <c r="F19" t="s">
        <v>3</v>
      </c>
    </row>
    <row r="20" spans="2:10" x14ac:dyDescent="0.3">
      <c r="B20" t="s">
        <v>0</v>
      </c>
      <c r="C20" t="s">
        <v>4</v>
      </c>
      <c r="D20" t="s">
        <v>1</v>
      </c>
      <c r="E20" t="s">
        <v>9</v>
      </c>
      <c r="F20" t="s">
        <v>0</v>
      </c>
      <c r="J20">
        <v>0.6</v>
      </c>
    </row>
    <row r="21" spans="2:10" x14ac:dyDescent="0.3">
      <c r="B21">
        <v>0.6</v>
      </c>
      <c r="C21">
        <f t="shared" ref="C21:C29" si="2">D21/100</f>
        <v>0</v>
      </c>
      <c r="D21">
        <v>0</v>
      </c>
      <c r="E21" t="e">
        <f t="shared" ref="E21:E29" si="3">LOG10(C21)</f>
        <v>#NUM!</v>
      </c>
      <c r="F21">
        <v>0.6</v>
      </c>
      <c r="G21" t="s">
        <v>12</v>
      </c>
      <c r="H21">
        <f>SLOPE(F22:F29,E22:E29)</f>
        <v>0.21599500227621773</v>
      </c>
      <c r="J21">
        <v>2.2999999999999998</v>
      </c>
    </row>
    <row r="22" spans="2:10" x14ac:dyDescent="0.3">
      <c r="B22">
        <v>2.2999999999999998</v>
      </c>
      <c r="C22">
        <f t="shared" si="2"/>
        <v>1E-4</v>
      </c>
      <c r="D22">
        <v>0.01</v>
      </c>
      <c r="E22">
        <f t="shared" si="3"/>
        <v>-4</v>
      </c>
      <c r="F22">
        <v>2.2999999999999998</v>
      </c>
      <c r="J22">
        <v>2.5</v>
      </c>
    </row>
    <row r="23" spans="2:10" x14ac:dyDescent="0.3">
      <c r="B23">
        <v>2.5</v>
      </c>
      <c r="C23">
        <f t="shared" si="2"/>
        <v>2.0000000000000001E-4</v>
      </c>
      <c r="D23">
        <v>0.02</v>
      </c>
      <c r="E23">
        <f t="shared" si="3"/>
        <v>-3.6989700043360187</v>
      </c>
      <c r="F23">
        <v>2.5</v>
      </c>
      <c r="G23" t="s">
        <v>13</v>
      </c>
      <c r="H23">
        <f>INTERCEPT(F22:F29,E22:E29)</f>
        <v>3.2256009486952939</v>
      </c>
      <c r="J23">
        <v>2.56</v>
      </c>
    </row>
    <row r="24" spans="2:10" x14ac:dyDescent="0.3">
      <c r="B24">
        <v>2.56</v>
      </c>
      <c r="C24">
        <f t="shared" si="2"/>
        <v>7.000000000000001E-4</v>
      </c>
      <c r="D24">
        <v>7.0000000000000007E-2</v>
      </c>
      <c r="E24">
        <f t="shared" si="3"/>
        <v>-3.1549019599857431</v>
      </c>
      <c r="F24">
        <v>2.56</v>
      </c>
      <c r="J24">
        <v>2.6</v>
      </c>
    </row>
    <row r="25" spans="2:10" x14ac:dyDescent="0.3">
      <c r="B25">
        <v>2.6</v>
      </c>
      <c r="C25">
        <f t="shared" si="2"/>
        <v>1.2999999999999999E-3</v>
      </c>
      <c r="D25">
        <v>0.13</v>
      </c>
      <c r="E25">
        <f t="shared" si="3"/>
        <v>-2.8860566476931631</v>
      </c>
      <c r="F25">
        <v>2.6</v>
      </c>
      <c r="J25">
        <v>2.65</v>
      </c>
    </row>
    <row r="26" spans="2:10" x14ac:dyDescent="0.3">
      <c r="B26">
        <v>2.65</v>
      </c>
      <c r="C26">
        <f t="shared" si="2"/>
        <v>2.7000000000000001E-3</v>
      </c>
      <c r="D26">
        <v>0.27</v>
      </c>
      <c r="E26">
        <f t="shared" si="3"/>
        <v>-2.5686362358410126</v>
      </c>
      <c r="F26">
        <v>2.65</v>
      </c>
      <c r="J26">
        <v>2.7</v>
      </c>
    </row>
    <row r="27" spans="2:10" x14ac:dyDescent="0.3">
      <c r="B27">
        <v>2.7</v>
      </c>
      <c r="C27">
        <f t="shared" si="2"/>
        <v>4.4000000000000003E-3</v>
      </c>
      <c r="D27">
        <v>0.44</v>
      </c>
      <c r="E27">
        <f t="shared" si="3"/>
        <v>-2.3565473235138126</v>
      </c>
      <c r="F27">
        <v>2.7</v>
      </c>
      <c r="J27">
        <v>2.75</v>
      </c>
    </row>
    <row r="28" spans="2:10" x14ac:dyDescent="0.3">
      <c r="B28">
        <v>2.75</v>
      </c>
      <c r="C28">
        <f t="shared" si="2"/>
        <v>6.5000000000000006E-3</v>
      </c>
      <c r="D28">
        <v>0.65</v>
      </c>
      <c r="E28">
        <f t="shared" si="3"/>
        <v>-2.1870866433571443</v>
      </c>
      <c r="F28">
        <v>2.75</v>
      </c>
      <c r="J28">
        <v>2.8</v>
      </c>
    </row>
    <row r="29" spans="2:10" x14ac:dyDescent="0.3">
      <c r="B29">
        <v>2.8</v>
      </c>
      <c r="C29">
        <f t="shared" si="2"/>
        <v>9.1000000000000004E-3</v>
      </c>
      <c r="D29">
        <v>0.91</v>
      </c>
      <c r="E29">
        <f t="shared" si="3"/>
        <v>-2.0409586076789066</v>
      </c>
      <c r="F29">
        <v>2.8</v>
      </c>
    </row>
    <row r="38" spans="2:8" x14ac:dyDescent="0.3">
      <c r="B38" s="2" t="s">
        <v>5</v>
      </c>
      <c r="C38" s="2"/>
      <c r="D38" s="1"/>
    </row>
    <row r="39" spans="2:8" x14ac:dyDescent="0.3">
      <c r="B39" t="s">
        <v>0</v>
      </c>
      <c r="C39" t="s">
        <v>2</v>
      </c>
      <c r="D39" t="s">
        <v>1</v>
      </c>
      <c r="E39" t="s">
        <v>10</v>
      </c>
      <c r="F39" t="s">
        <v>0</v>
      </c>
    </row>
    <row r="40" spans="2:8" x14ac:dyDescent="0.3">
      <c r="B40">
        <v>0.12</v>
      </c>
      <c r="C40">
        <f t="shared" ref="C40:C53" si="4">D40/100</f>
        <v>0</v>
      </c>
      <c r="D40">
        <v>0</v>
      </c>
      <c r="E40" t="e">
        <f t="shared" ref="E40:E53" si="5">LOG10(C40)</f>
        <v>#NUM!</v>
      </c>
      <c r="F40">
        <v>0.12</v>
      </c>
    </row>
    <row r="41" spans="2:8" x14ac:dyDescent="0.3">
      <c r="B41">
        <v>0.54</v>
      </c>
      <c r="C41">
        <f t="shared" si="4"/>
        <v>0</v>
      </c>
      <c r="D41">
        <v>0</v>
      </c>
      <c r="E41" t="e">
        <f t="shared" si="5"/>
        <v>#NUM!</v>
      </c>
      <c r="F41">
        <v>0.54</v>
      </c>
    </row>
    <row r="42" spans="2:8" x14ac:dyDescent="0.3">
      <c r="B42">
        <v>1.83</v>
      </c>
      <c r="C42">
        <f t="shared" si="4"/>
        <v>0</v>
      </c>
      <c r="D42">
        <v>0</v>
      </c>
      <c r="E42" t="e">
        <f t="shared" si="5"/>
        <v>#NUM!</v>
      </c>
      <c r="F42">
        <v>1.83</v>
      </c>
      <c r="G42" t="s">
        <v>12</v>
      </c>
      <c r="H42">
        <f>SLOPE(F43:F53,E43:E53)</f>
        <v>0.38362350622492775</v>
      </c>
    </row>
    <row r="43" spans="2:8" x14ac:dyDescent="0.3">
      <c r="B43">
        <v>2.0699999999999998</v>
      </c>
      <c r="C43">
        <f t="shared" si="4"/>
        <v>1E-4</v>
      </c>
      <c r="D43">
        <v>0.01</v>
      </c>
      <c r="E43">
        <f t="shared" si="5"/>
        <v>-4</v>
      </c>
      <c r="F43">
        <v>2.0699999999999998</v>
      </c>
    </row>
    <row r="44" spans="2:8" x14ac:dyDescent="0.3">
      <c r="B44">
        <v>2.19</v>
      </c>
      <c r="C44">
        <f t="shared" si="4"/>
        <v>2.0000000000000001E-4</v>
      </c>
      <c r="D44">
        <v>0.02</v>
      </c>
      <c r="E44">
        <f t="shared" si="5"/>
        <v>-3.6989700043360187</v>
      </c>
      <c r="F44">
        <v>2.19</v>
      </c>
      <c r="G44" t="s">
        <v>13</v>
      </c>
      <c r="H44">
        <f>INTERCEPT(F43:F53,E43:E53)</f>
        <v>3.558595579489527</v>
      </c>
    </row>
    <row r="45" spans="2:8" x14ac:dyDescent="0.3">
      <c r="B45">
        <v>2.31</v>
      </c>
      <c r="C45">
        <f t="shared" si="4"/>
        <v>7.000000000000001E-4</v>
      </c>
      <c r="D45">
        <v>7.0000000000000007E-2</v>
      </c>
      <c r="E45">
        <f t="shared" si="5"/>
        <v>-3.1549019599857431</v>
      </c>
      <c r="F45">
        <v>2.31</v>
      </c>
    </row>
    <row r="46" spans="2:8" x14ac:dyDescent="0.3">
      <c r="B46">
        <v>2.4</v>
      </c>
      <c r="C46">
        <f t="shared" si="4"/>
        <v>1.2999999999999999E-3</v>
      </c>
      <c r="D46">
        <v>0.13</v>
      </c>
      <c r="E46">
        <f t="shared" si="5"/>
        <v>-2.8860566476931631</v>
      </c>
      <c r="F46">
        <v>2.4</v>
      </c>
    </row>
    <row r="47" spans="2:8" x14ac:dyDescent="0.3">
      <c r="B47">
        <v>2.4500000000000002</v>
      </c>
      <c r="C47">
        <f t="shared" si="4"/>
        <v>1.9E-3</v>
      </c>
      <c r="D47">
        <v>0.19</v>
      </c>
      <c r="E47">
        <f t="shared" si="5"/>
        <v>-2.7212463990471711</v>
      </c>
      <c r="F47">
        <v>2.4500000000000002</v>
      </c>
    </row>
    <row r="48" spans="2:8" x14ac:dyDescent="0.3">
      <c r="B48">
        <v>2.5</v>
      </c>
      <c r="C48">
        <f t="shared" si="4"/>
        <v>2.5000000000000001E-3</v>
      </c>
      <c r="D48">
        <v>0.25</v>
      </c>
      <c r="E48">
        <f t="shared" si="5"/>
        <v>-2.6020599913279625</v>
      </c>
      <c r="F48">
        <v>2.5</v>
      </c>
    </row>
    <row r="49" spans="2:8" x14ac:dyDescent="0.3">
      <c r="B49">
        <v>2.6</v>
      </c>
      <c r="C49">
        <f t="shared" si="4"/>
        <v>3.9000000000000003E-3</v>
      </c>
      <c r="D49">
        <v>0.39</v>
      </c>
      <c r="E49">
        <f t="shared" si="5"/>
        <v>-2.4089353929735009</v>
      </c>
      <c r="F49">
        <v>2.6</v>
      </c>
    </row>
    <row r="50" spans="2:8" x14ac:dyDescent="0.3">
      <c r="B50">
        <v>2.65</v>
      </c>
      <c r="C50">
        <f t="shared" si="4"/>
        <v>4.6999999999999993E-3</v>
      </c>
      <c r="D50">
        <v>0.47</v>
      </c>
      <c r="E50">
        <f t="shared" si="5"/>
        <v>-2.3279021420642825</v>
      </c>
      <c r="F50">
        <v>2.65</v>
      </c>
    </row>
    <row r="51" spans="2:8" x14ac:dyDescent="0.3">
      <c r="B51">
        <v>2.73</v>
      </c>
      <c r="C51">
        <f t="shared" si="4"/>
        <v>6.0000000000000001E-3</v>
      </c>
      <c r="D51">
        <v>0.6</v>
      </c>
      <c r="E51">
        <f t="shared" si="5"/>
        <v>-2.2218487496163561</v>
      </c>
      <c r="F51">
        <v>2.73</v>
      </c>
    </row>
    <row r="52" spans="2:8" x14ac:dyDescent="0.3">
      <c r="B52">
        <v>2.8</v>
      </c>
      <c r="C52">
        <f t="shared" si="4"/>
        <v>7.7000000000000002E-3</v>
      </c>
      <c r="D52">
        <v>0.77</v>
      </c>
      <c r="E52">
        <f t="shared" si="5"/>
        <v>-2.1135092748275182</v>
      </c>
      <c r="F52">
        <v>2.8</v>
      </c>
    </row>
    <row r="53" spans="2:8" x14ac:dyDescent="0.3">
      <c r="B53">
        <v>2.87</v>
      </c>
      <c r="C53">
        <f t="shared" si="4"/>
        <v>9.1999999999999998E-3</v>
      </c>
      <c r="D53">
        <v>0.92</v>
      </c>
      <c r="E53">
        <f t="shared" si="5"/>
        <v>-2.0362121726544449</v>
      </c>
      <c r="F53">
        <v>2.87</v>
      </c>
    </row>
    <row r="56" spans="2:8" x14ac:dyDescent="0.3">
      <c r="B56" s="2" t="s">
        <v>6</v>
      </c>
      <c r="C56" s="2"/>
    </row>
    <row r="57" spans="2:8" x14ac:dyDescent="0.3">
      <c r="B57" t="s">
        <v>0</v>
      </c>
      <c r="C57" t="s">
        <v>2</v>
      </c>
      <c r="D57" t="s">
        <v>7</v>
      </c>
      <c r="E57" t="s">
        <v>10</v>
      </c>
      <c r="F57" t="s">
        <v>0</v>
      </c>
    </row>
    <row r="58" spans="2:8" x14ac:dyDescent="0.3">
      <c r="B58">
        <v>0.3</v>
      </c>
      <c r="C58">
        <f t="shared" ref="C58:C67" si="6">D58/100</f>
        <v>0</v>
      </c>
      <c r="D58">
        <v>0</v>
      </c>
      <c r="E58" t="e">
        <f t="shared" ref="E58:E67" si="7">LOG10(C58)</f>
        <v>#NUM!</v>
      </c>
      <c r="F58">
        <v>0.3</v>
      </c>
    </row>
    <row r="59" spans="2:8" x14ac:dyDescent="0.3">
      <c r="B59">
        <v>0.5</v>
      </c>
      <c r="C59">
        <f t="shared" si="6"/>
        <v>0</v>
      </c>
      <c r="D59">
        <v>0</v>
      </c>
      <c r="E59" t="e">
        <f t="shared" si="7"/>
        <v>#NUM!</v>
      </c>
      <c r="F59">
        <v>0.5</v>
      </c>
    </row>
    <row r="60" spans="2:8" x14ac:dyDescent="0.3">
      <c r="B60">
        <v>0.88</v>
      </c>
      <c r="C60">
        <f t="shared" si="6"/>
        <v>0</v>
      </c>
      <c r="D60">
        <v>0</v>
      </c>
      <c r="E60" t="e">
        <f t="shared" si="7"/>
        <v>#NUM!</v>
      </c>
      <c r="F60">
        <v>0.88</v>
      </c>
      <c r="G60" t="s">
        <v>12</v>
      </c>
      <c r="H60">
        <f>SLOPE(F61:F67,E61:E67)</f>
        <v>0.17073265167620802</v>
      </c>
    </row>
    <row r="61" spans="2:8" x14ac:dyDescent="0.3">
      <c r="B61">
        <v>1.64</v>
      </c>
      <c r="C61">
        <f t="shared" si="6"/>
        <v>1E-4</v>
      </c>
      <c r="D61">
        <v>0.01</v>
      </c>
      <c r="E61">
        <f t="shared" si="7"/>
        <v>-4</v>
      </c>
      <c r="F61">
        <v>1.64</v>
      </c>
    </row>
    <row r="62" spans="2:8" x14ac:dyDescent="0.3">
      <c r="B62">
        <v>1.79</v>
      </c>
      <c r="C62">
        <f t="shared" si="6"/>
        <v>1E-3</v>
      </c>
      <c r="D62">
        <v>0.1</v>
      </c>
      <c r="E62">
        <f t="shared" si="7"/>
        <v>-3</v>
      </c>
      <c r="F62">
        <v>1.79</v>
      </c>
      <c r="G62" t="s">
        <v>13</v>
      </c>
      <c r="H62">
        <f>INTERCEPT(F61:F67,E61:E67)</f>
        <v>2.3103412598761106</v>
      </c>
    </row>
    <row r="63" spans="2:8" x14ac:dyDescent="0.3">
      <c r="B63">
        <v>1.85</v>
      </c>
      <c r="C63">
        <f t="shared" si="6"/>
        <v>2.3999999999999998E-3</v>
      </c>
      <c r="D63">
        <v>0.24</v>
      </c>
      <c r="E63">
        <f t="shared" si="7"/>
        <v>-2.6197887582883941</v>
      </c>
      <c r="F63">
        <v>1.85</v>
      </c>
    </row>
    <row r="64" spans="2:8" x14ac:dyDescent="0.3">
      <c r="B64">
        <v>1.9</v>
      </c>
      <c r="C64">
        <f t="shared" si="6"/>
        <v>4.8999999999999998E-3</v>
      </c>
      <c r="D64">
        <v>0.49</v>
      </c>
      <c r="E64">
        <f t="shared" si="7"/>
        <v>-2.3098039199714862</v>
      </c>
      <c r="F64">
        <v>1.9</v>
      </c>
    </row>
    <row r="65" spans="2:8" x14ac:dyDescent="0.3">
      <c r="B65">
        <v>1.95</v>
      </c>
      <c r="C65">
        <f t="shared" si="6"/>
        <v>8.1000000000000013E-3</v>
      </c>
      <c r="D65">
        <v>0.81</v>
      </c>
      <c r="E65">
        <f t="shared" si="7"/>
        <v>-2.09151498112135</v>
      </c>
      <c r="F65">
        <v>1.95</v>
      </c>
    </row>
    <row r="66" spans="2:8" x14ac:dyDescent="0.3">
      <c r="B66">
        <v>2</v>
      </c>
      <c r="C66">
        <f t="shared" si="6"/>
        <v>1.3000000000000001E-2</v>
      </c>
      <c r="D66">
        <v>1.3</v>
      </c>
      <c r="E66">
        <f t="shared" si="7"/>
        <v>-1.8860566476931633</v>
      </c>
      <c r="F66">
        <v>2</v>
      </c>
    </row>
    <row r="67" spans="2:8" x14ac:dyDescent="0.3">
      <c r="B67">
        <v>2.0099999999999998</v>
      </c>
      <c r="C67">
        <f t="shared" si="6"/>
        <v>1.3999999999999999E-2</v>
      </c>
      <c r="D67">
        <v>1.4</v>
      </c>
      <c r="E67">
        <f t="shared" si="7"/>
        <v>-1.853871964321762</v>
      </c>
      <c r="F67">
        <v>2.0099999999999998</v>
      </c>
    </row>
    <row r="76" spans="2:8" x14ac:dyDescent="0.3">
      <c r="B76" s="2" t="s">
        <v>8</v>
      </c>
      <c r="C76" s="2"/>
    </row>
    <row r="77" spans="2:8" x14ac:dyDescent="0.3">
      <c r="B77" t="s">
        <v>0</v>
      </c>
      <c r="C77" t="s">
        <v>2</v>
      </c>
      <c r="D77" t="s">
        <v>7</v>
      </c>
      <c r="E77" t="s">
        <v>10</v>
      </c>
      <c r="F77" t="s">
        <v>0</v>
      </c>
    </row>
    <row r="78" spans="2:8" x14ac:dyDescent="0.3">
      <c r="B78">
        <v>2</v>
      </c>
      <c r="C78">
        <f t="shared" ref="C78:C88" si="8">D78/100</f>
        <v>0</v>
      </c>
      <c r="D78">
        <v>0</v>
      </c>
      <c r="E78" t="e">
        <f t="shared" ref="E78:E88" si="9">LOG10(C78)</f>
        <v>#NUM!</v>
      </c>
      <c r="F78">
        <v>2</v>
      </c>
    </row>
    <row r="79" spans="2:8" x14ac:dyDescent="0.3">
      <c r="B79">
        <v>2.2599999999999998</v>
      </c>
      <c r="C79">
        <f t="shared" si="8"/>
        <v>0</v>
      </c>
      <c r="D79">
        <v>0</v>
      </c>
      <c r="E79" t="e">
        <f t="shared" si="9"/>
        <v>#NUM!</v>
      </c>
      <c r="F79">
        <v>2.2599999999999998</v>
      </c>
      <c r="G79" t="s">
        <v>12</v>
      </c>
      <c r="H79">
        <f>SLOPE(F80:F88,E80:E88)</f>
        <v>0.16567186180742535</v>
      </c>
    </row>
    <row r="80" spans="2:8" x14ac:dyDescent="0.3">
      <c r="B80">
        <v>2.4900000000000002</v>
      </c>
      <c r="C80">
        <f t="shared" si="8"/>
        <v>1E-4</v>
      </c>
      <c r="D80">
        <v>0.01</v>
      </c>
      <c r="E80">
        <f t="shared" si="9"/>
        <v>-4</v>
      </c>
      <c r="F80">
        <v>2.4900000000000002</v>
      </c>
    </row>
    <row r="81" spans="2:8" x14ac:dyDescent="0.3">
      <c r="B81">
        <v>2.5499999999999998</v>
      </c>
      <c r="C81">
        <f t="shared" si="8"/>
        <v>2.9999999999999997E-4</v>
      </c>
      <c r="D81">
        <v>0.03</v>
      </c>
      <c r="E81">
        <f t="shared" si="9"/>
        <v>-3.5228787452803374</v>
      </c>
      <c r="F81">
        <v>2.5499999999999998</v>
      </c>
      <c r="G81" t="s">
        <v>13</v>
      </c>
      <c r="H81">
        <f>INTERCEPT(F80:F88,E80:E88)</f>
        <v>3.132323768830795</v>
      </c>
    </row>
    <row r="82" spans="2:8" x14ac:dyDescent="0.3">
      <c r="B82">
        <v>2.6</v>
      </c>
      <c r="C82">
        <f t="shared" si="8"/>
        <v>7.000000000000001E-4</v>
      </c>
      <c r="D82">
        <v>7.0000000000000007E-2</v>
      </c>
      <c r="E82">
        <f t="shared" si="9"/>
        <v>-3.1549019599857431</v>
      </c>
      <c r="F82">
        <v>2.6</v>
      </c>
    </row>
    <row r="83" spans="2:8" x14ac:dyDescent="0.3">
      <c r="B83">
        <v>2.65</v>
      </c>
      <c r="C83">
        <f t="shared" si="8"/>
        <v>1.7000000000000001E-3</v>
      </c>
      <c r="D83">
        <v>0.17</v>
      </c>
      <c r="E83">
        <f t="shared" si="9"/>
        <v>-2.7695510786217259</v>
      </c>
      <c r="F83">
        <v>2.65</v>
      </c>
    </row>
    <row r="84" spans="2:8" x14ac:dyDescent="0.3">
      <c r="B84">
        <v>2.7</v>
      </c>
      <c r="C84">
        <f t="shared" si="8"/>
        <v>3.5999999999999999E-3</v>
      </c>
      <c r="D84">
        <v>0.36</v>
      </c>
      <c r="E84">
        <f t="shared" si="9"/>
        <v>-2.4436974992327127</v>
      </c>
      <c r="F84">
        <v>2.7</v>
      </c>
    </row>
    <row r="85" spans="2:8" x14ac:dyDescent="0.3">
      <c r="B85">
        <v>2.73</v>
      </c>
      <c r="C85">
        <f t="shared" si="8"/>
        <v>4.4000000000000003E-3</v>
      </c>
      <c r="D85">
        <v>0.44</v>
      </c>
      <c r="E85">
        <f t="shared" si="9"/>
        <v>-2.3565473235138126</v>
      </c>
      <c r="F85">
        <v>2.73</v>
      </c>
    </row>
    <row r="86" spans="2:8" x14ac:dyDescent="0.3">
      <c r="B86">
        <v>2.76</v>
      </c>
      <c r="C86">
        <f t="shared" si="8"/>
        <v>5.6000000000000008E-3</v>
      </c>
      <c r="D86">
        <v>0.56000000000000005</v>
      </c>
      <c r="E86">
        <f t="shared" si="9"/>
        <v>-2.2518119729937993</v>
      </c>
      <c r="F86">
        <v>2.76</v>
      </c>
    </row>
    <row r="87" spans="2:8" x14ac:dyDescent="0.3">
      <c r="B87">
        <v>2.8</v>
      </c>
      <c r="C87">
        <f t="shared" si="8"/>
        <v>8.0000000000000002E-3</v>
      </c>
      <c r="D87">
        <v>0.8</v>
      </c>
      <c r="E87">
        <f t="shared" si="9"/>
        <v>-2.0969100130080562</v>
      </c>
      <c r="F87">
        <v>2.8</v>
      </c>
    </row>
    <row r="88" spans="2:8" x14ac:dyDescent="0.3">
      <c r="B88">
        <v>2.83</v>
      </c>
      <c r="C88">
        <f t="shared" si="8"/>
        <v>9.1999999999999998E-3</v>
      </c>
      <c r="D88">
        <v>0.92</v>
      </c>
      <c r="E88">
        <f t="shared" si="9"/>
        <v>-2.0362121726544449</v>
      </c>
      <c r="F88">
        <v>2.83</v>
      </c>
    </row>
    <row r="94" spans="2:8" x14ac:dyDescent="0.3">
      <c r="B94" s="2" t="s">
        <v>14</v>
      </c>
      <c r="C94" s="2"/>
    </row>
    <row r="95" spans="2:8" x14ac:dyDescent="0.3">
      <c r="B95" t="s">
        <v>0</v>
      </c>
      <c r="C95" t="s">
        <v>2</v>
      </c>
      <c r="D95" t="s">
        <v>7</v>
      </c>
      <c r="E95" t="s">
        <v>10</v>
      </c>
      <c r="F95" t="s">
        <v>0</v>
      </c>
    </row>
    <row r="96" spans="2:8" x14ac:dyDescent="0.3">
      <c r="B96">
        <v>0.04</v>
      </c>
      <c r="C96">
        <f t="shared" ref="C96:C107" si="10">D96/100</f>
        <v>0</v>
      </c>
      <c r="D96">
        <v>0</v>
      </c>
      <c r="E96" t="e">
        <f t="shared" ref="E96:E107" si="11">LOG10(C96)</f>
        <v>#NUM!</v>
      </c>
      <c r="F96">
        <v>0.04</v>
      </c>
    </row>
    <row r="97" spans="2:6" x14ac:dyDescent="0.3">
      <c r="B97">
        <v>0.98</v>
      </c>
      <c r="C97">
        <f t="shared" si="10"/>
        <v>8.0000000000000004E-4</v>
      </c>
      <c r="D97">
        <v>0.08</v>
      </c>
      <c r="E97">
        <f t="shared" si="11"/>
        <v>-3.0969100130080562</v>
      </c>
      <c r="F97">
        <v>0.98</v>
      </c>
    </row>
    <row r="98" spans="2:6" x14ac:dyDescent="0.3">
      <c r="B98">
        <v>1.1399999999999999</v>
      </c>
      <c r="C98">
        <f t="shared" si="10"/>
        <v>8.9999999999999998E-4</v>
      </c>
      <c r="D98">
        <v>0.09</v>
      </c>
      <c r="E98">
        <f t="shared" si="11"/>
        <v>-3.0457574905606752</v>
      </c>
      <c r="F98">
        <v>1.1399999999999999</v>
      </c>
    </row>
    <row r="99" spans="2:6" x14ac:dyDescent="0.3">
      <c r="B99">
        <v>1.29</v>
      </c>
      <c r="C99">
        <f t="shared" si="10"/>
        <v>1E-3</v>
      </c>
      <c r="D99">
        <v>0.1</v>
      </c>
      <c r="E99">
        <f t="shared" si="11"/>
        <v>-3</v>
      </c>
      <c r="F99">
        <v>1.29</v>
      </c>
    </row>
    <row r="100" spans="2:6" x14ac:dyDescent="0.3">
      <c r="B100">
        <v>1.73</v>
      </c>
      <c r="C100">
        <f t="shared" si="10"/>
        <v>1.2999999999999999E-3</v>
      </c>
      <c r="D100">
        <v>0.13</v>
      </c>
      <c r="E100">
        <f t="shared" si="11"/>
        <v>-2.8860566476931631</v>
      </c>
      <c r="F100">
        <v>1.73</v>
      </c>
    </row>
    <row r="101" spans="2:6" x14ac:dyDescent="0.3">
      <c r="B101">
        <v>1.96</v>
      </c>
      <c r="C101">
        <f t="shared" si="10"/>
        <v>1.5E-3</v>
      </c>
      <c r="D101">
        <v>0.15</v>
      </c>
      <c r="E101">
        <f t="shared" si="11"/>
        <v>-2.8239087409443187</v>
      </c>
      <c r="F101">
        <v>1.96</v>
      </c>
    </row>
    <row r="102" spans="2:6" x14ac:dyDescent="0.3">
      <c r="B102">
        <v>2.13</v>
      </c>
      <c r="C102">
        <f t="shared" si="10"/>
        <v>1.6000000000000001E-3</v>
      </c>
      <c r="D102">
        <v>0.16</v>
      </c>
      <c r="E102">
        <f t="shared" si="11"/>
        <v>-2.795880017344075</v>
      </c>
      <c r="F102">
        <v>2.13</v>
      </c>
    </row>
    <row r="103" spans="2:6" x14ac:dyDescent="0.3">
      <c r="B103">
        <v>2.61</v>
      </c>
      <c r="C103">
        <f t="shared" si="10"/>
        <v>1.9E-3</v>
      </c>
      <c r="D103">
        <v>0.19</v>
      </c>
      <c r="E103">
        <f t="shared" si="11"/>
        <v>-2.7212463990471711</v>
      </c>
      <c r="F103">
        <v>2.61</v>
      </c>
    </row>
    <row r="104" spans="2:6" x14ac:dyDescent="0.3">
      <c r="B104">
        <v>2.98</v>
      </c>
      <c r="C104">
        <f t="shared" si="10"/>
        <v>2.0999999999999999E-3</v>
      </c>
      <c r="D104">
        <v>0.21</v>
      </c>
      <c r="E104">
        <f t="shared" si="11"/>
        <v>-2.6777807052660809</v>
      </c>
      <c r="F104">
        <v>2.98</v>
      </c>
    </row>
    <row r="105" spans="2:6" x14ac:dyDescent="0.3">
      <c r="B105">
        <v>3.5</v>
      </c>
      <c r="C105">
        <f t="shared" si="10"/>
        <v>2.3999999999999998E-3</v>
      </c>
      <c r="D105">
        <v>0.24</v>
      </c>
      <c r="E105">
        <f t="shared" si="11"/>
        <v>-2.6197887582883941</v>
      </c>
      <c r="F105">
        <v>3.5</v>
      </c>
    </row>
    <row r="106" spans="2:6" x14ac:dyDescent="0.3">
      <c r="B106">
        <v>4.01</v>
      </c>
      <c r="C106">
        <f t="shared" si="10"/>
        <v>2.7000000000000001E-3</v>
      </c>
      <c r="D106">
        <v>0.27</v>
      </c>
      <c r="E106">
        <f t="shared" si="11"/>
        <v>-2.5686362358410126</v>
      </c>
      <c r="F106">
        <v>4.01</v>
      </c>
    </row>
    <row r="107" spans="2:6" x14ac:dyDescent="0.3">
      <c r="B107">
        <v>4.07</v>
      </c>
      <c r="C107">
        <f t="shared" si="10"/>
        <v>2.8000000000000004E-3</v>
      </c>
      <c r="D107">
        <v>0.28000000000000003</v>
      </c>
      <c r="E107">
        <f t="shared" si="11"/>
        <v>-2.5528419686577806</v>
      </c>
      <c r="F107">
        <v>4.07</v>
      </c>
    </row>
    <row r="109" spans="2:6" x14ac:dyDescent="0.3">
      <c r="B109" s="2" t="s">
        <v>15</v>
      </c>
      <c r="C109" s="2"/>
    </row>
    <row r="110" spans="2:6" x14ac:dyDescent="0.3">
      <c r="B110" t="s">
        <v>0</v>
      </c>
      <c r="C110" t="s">
        <v>2</v>
      </c>
      <c r="D110" t="s">
        <v>7</v>
      </c>
      <c r="E110" t="s">
        <v>10</v>
      </c>
      <c r="F110" t="s">
        <v>0</v>
      </c>
    </row>
    <row r="111" spans="2:6" x14ac:dyDescent="0.3">
      <c r="B111">
        <v>0</v>
      </c>
      <c r="C111">
        <f t="shared" ref="C111:C129" si="12">D111/100</f>
        <v>0</v>
      </c>
      <c r="D111">
        <v>0</v>
      </c>
      <c r="E111" t="e">
        <f t="shared" ref="E111:E129" si="13">LOG10(C111)</f>
        <v>#NUM!</v>
      </c>
      <c r="F111">
        <v>0</v>
      </c>
    </row>
    <row r="112" spans="2:6" x14ac:dyDescent="0.3">
      <c r="B112">
        <v>9.1999999999999998E-2</v>
      </c>
      <c r="C112">
        <f t="shared" si="12"/>
        <v>6.0000000000000002E-5</v>
      </c>
      <c r="D112">
        <v>6.0000000000000001E-3</v>
      </c>
      <c r="E112">
        <f t="shared" si="13"/>
        <v>-4.2218487496163561</v>
      </c>
      <c r="F112">
        <v>0.92</v>
      </c>
    </row>
    <row r="113" spans="2:6" x14ac:dyDescent="0.3">
      <c r="B113">
        <v>0.113</v>
      </c>
      <c r="C113">
        <f t="shared" si="12"/>
        <v>1.6000000000000001E-4</v>
      </c>
      <c r="D113">
        <v>1.6E-2</v>
      </c>
      <c r="E113">
        <f t="shared" si="13"/>
        <v>-3.795880017344075</v>
      </c>
      <c r="F113">
        <v>0.113</v>
      </c>
    </row>
    <row r="114" spans="2:6" x14ac:dyDescent="0.3">
      <c r="B114">
        <v>0.13400000000000001</v>
      </c>
      <c r="C114">
        <f t="shared" si="12"/>
        <v>3.6999999999999999E-4</v>
      </c>
      <c r="D114">
        <v>3.6999999999999998E-2</v>
      </c>
      <c r="E114">
        <f t="shared" si="13"/>
        <v>-3.431798275933005</v>
      </c>
      <c r="F114">
        <v>0.13400000000000001</v>
      </c>
    </row>
    <row r="115" spans="2:6" x14ac:dyDescent="0.3">
      <c r="B115">
        <v>0.14099999999999999</v>
      </c>
      <c r="C115">
        <f t="shared" si="12"/>
        <v>4.8000000000000001E-4</v>
      </c>
      <c r="D115">
        <v>4.8000000000000001E-2</v>
      </c>
      <c r="E115">
        <f t="shared" si="13"/>
        <v>-3.3187587626244128</v>
      </c>
      <c r="F115">
        <v>0.14099999999999999</v>
      </c>
    </row>
    <row r="116" spans="2:6" x14ac:dyDescent="0.3">
      <c r="B116">
        <v>0.155</v>
      </c>
      <c r="C116">
        <f t="shared" si="12"/>
        <v>8.0000000000000004E-4</v>
      </c>
      <c r="D116">
        <v>0.08</v>
      </c>
      <c r="E116">
        <f t="shared" si="13"/>
        <v>-3.0969100130080562</v>
      </c>
      <c r="F116">
        <v>0.155</v>
      </c>
    </row>
    <row r="117" spans="2:6" x14ac:dyDescent="0.3">
      <c r="B117">
        <v>0.16400000000000001</v>
      </c>
      <c r="C117">
        <f t="shared" si="12"/>
        <v>1.1299999999999999E-3</v>
      </c>
      <c r="D117">
        <v>0.113</v>
      </c>
      <c r="E117">
        <f t="shared" si="13"/>
        <v>-2.9469215565165805</v>
      </c>
      <c r="F117">
        <v>0.16400000000000001</v>
      </c>
    </row>
    <row r="118" spans="2:6" x14ac:dyDescent="0.3">
      <c r="B118">
        <v>0.17100000000000001</v>
      </c>
      <c r="C118">
        <f t="shared" si="12"/>
        <v>1.5100000000000001E-3</v>
      </c>
      <c r="D118">
        <v>0.151</v>
      </c>
      <c r="E118">
        <f t="shared" si="13"/>
        <v>-2.8210230527068307</v>
      </c>
      <c r="F118">
        <v>0.17100000000000001</v>
      </c>
    </row>
    <row r="119" spans="2:6" x14ac:dyDescent="0.3">
      <c r="B119">
        <v>0.18</v>
      </c>
      <c r="C119">
        <f t="shared" si="12"/>
        <v>2.0599999999999998E-3</v>
      </c>
      <c r="D119">
        <v>0.20599999999999999</v>
      </c>
      <c r="E119">
        <f t="shared" si="13"/>
        <v>-2.6861327796308467</v>
      </c>
      <c r="F119">
        <v>0.18</v>
      </c>
    </row>
    <row r="120" spans="2:6" x14ac:dyDescent="0.3">
      <c r="B120">
        <v>0.19</v>
      </c>
      <c r="C120">
        <f t="shared" si="12"/>
        <v>2.98E-3</v>
      </c>
      <c r="D120">
        <v>0.29799999999999999</v>
      </c>
      <c r="E120">
        <f t="shared" si="13"/>
        <v>-2.5257837359237447</v>
      </c>
      <c r="F120">
        <v>0.19</v>
      </c>
    </row>
    <row r="121" spans="2:6" x14ac:dyDescent="0.3">
      <c r="B121">
        <v>0.2</v>
      </c>
      <c r="C121">
        <f t="shared" si="12"/>
        <v>4.4299999999999999E-3</v>
      </c>
      <c r="D121">
        <v>0.443</v>
      </c>
      <c r="E121">
        <f t="shared" si="13"/>
        <v>-2.3535962737769305</v>
      </c>
      <c r="F121">
        <v>0.2</v>
      </c>
    </row>
    <row r="122" spans="2:6" x14ac:dyDescent="0.3">
      <c r="B122">
        <v>0.20499999999999999</v>
      </c>
      <c r="C122">
        <f t="shared" si="12"/>
        <v>5.3500000000000006E-3</v>
      </c>
      <c r="D122">
        <v>0.53500000000000003</v>
      </c>
      <c r="E122">
        <f t="shared" si="13"/>
        <v>-2.2716462179787715</v>
      </c>
      <c r="F122">
        <v>0.20499999999999999</v>
      </c>
    </row>
    <row r="123" spans="2:6" x14ac:dyDescent="0.3">
      <c r="B123">
        <v>0.21</v>
      </c>
      <c r="C123">
        <f t="shared" si="12"/>
        <v>6.3699999999999998E-3</v>
      </c>
      <c r="D123">
        <v>0.63700000000000001</v>
      </c>
      <c r="E123">
        <f t="shared" si="13"/>
        <v>-2.1958605676646497</v>
      </c>
      <c r="F123">
        <v>0.21</v>
      </c>
    </row>
    <row r="124" spans="2:6" x14ac:dyDescent="0.3">
      <c r="B124">
        <v>0.215</v>
      </c>
      <c r="C124">
        <f t="shared" si="12"/>
        <v>7.7400000000000004E-3</v>
      </c>
      <c r="D124">
        <v>0.77400000000000002</v>
      </c>
      <c r="E124">
        <f t="shared" si="13"/>
        <v>-2.1112590393171073</v>
      </c>
      <c r="F124">
        <v>0.215</v>
      </c>
    </row>
    <row r="125" spans="2:6" x14ac:dyDescent="0.3">
      <c r="B125">
        <v>0.22</v>
      </c>
      <c r="C125">
        <f t="shared" si="12"/>
        <v>9.41E-3</v>
      </c>
      <c r="D125">
        <v>0.94099999999999995</v>
      </c>
      <c r="E125">
        <f t="shared" si="13"/>
        <v>-2.026410376572743</v>
      </c>
      <c r="F125">
        <v>0.22</v>
      </c>
    </row>
    <row r="126" spans="2:6" x14ac:dyDescent="0.3">
      <c r="B126">
        <v>0.22500000000000001</v>
      </c>
      <c r="C126">
        <f t="shared" si="12"/>
        <v>1.158E-2</v>
      </c>
      <c r="D126">
        <v>1.1579999999999999</v>
      </c>
      <c r="E126">
        <f t="shared" si="13"/>
        <v>-1.9362914406085827</v>
      </c>
      <c r="F126">
        <v>0.22500000000000001</v>
      </c>
    </row>
    <row r="127" spans="2:6" x14ac:dyDescent="0.3">
      <c r="B127">
        <v>0.23</v>
      </c>
      <c r="C127">
        <f t="shared" si="12"/>
        <v>1.4250000000000001E-2</v>
      </c>
      <c r="D127">
        <v>1.425</v>
      </c>
      <c r="E127">
        <f t="shared" si="13"/>
        <v>-1.846185135655471</v>
      </c>
      <c r="F127">
        <v>0.23</v>
      </c>
    </row>
    <row r="128" spans="2:6" x14ac:dyDescent="0.3">
      <c r="B128">
        <v>0.24</v>
      </c>
      <c r="C128">
        <f t="shared" si="12"/>
        <v>1.9769999999999999E-2</v>
      </c>
      <c r="D128">
        <v>1.9770000000000001</v>
      </c>
      <c r="E128">
        <f t="shared" si="13"/>
        <v>-1.7039933306863277</v>
      </c>
      <c r="F128">
        <v>0.24</v>
      </c>
    </row>
    <row r="129" spans="2:6" x14ac:dyDescent="0.3">
      <c r="B129">
        <v>0.245</v>
      </c>
      <c r="C129">
        <f t="shared" si="12"/>
        <v>2.3399999999999997E-2</v>
      </c>
      <c r="D129">
        <v>2.34</v>
      </c>
      <c r="E129">
        <f t="shared" si="13"/>
        <v>-1.6307841425898573</v>
      </c>
      <c r="F129">
        <v>0.245</v>
      </c>
    </row>
  </sheetData>
  <mergeCells count="5">
    <mergeCell ref="B38:C38"/>
    <mergeCell ref="B56:C56"/>
    <mergeCell ref="B76:C76"/>
    <mergeCell ref="B94:C94"/>
    <mergeCell ref="B109:C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Prithviraj Kadam</dc:creator>
  <cp:lastModifiedBy>hp</cp:lastModifiedBy>
  <dcterms:created xsi:type="dcterms:W3CDTF">2026-06-22T04:30:39Z</dcterms:created>
  <dcterms:modified xsi:type="dcterms:W3CDTF">2026-06-22T18:22:44Z</dcterms:modified>
</cp:coreProperties>
</file>