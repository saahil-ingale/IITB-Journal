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0FDE312B-9ECA-4B3A-B41C-3FEAD22E0AE2}" xr6:coauthVersionLast="47" xr6:coauthVersionMax="47" xr10:uidLastSave="{00000000-0000-0000-0000-000000000000}"/>
  <bookViews>
    <workbookView xWindow="-108" yWindow="-108" windowWidth="23256" windowHeight="12456" activeTab="1" xr2:uid="{88B7667E-98D3-4648-8E9B-3D99A135A80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3" i="1"/>
</calcChain>
</file>

<file path=xl/sharedStrings.xml><?xml version="1.0" encoding="utf-8"?>
<sst xmlns="http://schemas.openxmlformats.org/spreadsheetml/2006/main" count="32" uniqueCount="18">
  <si>
    <t>freq</t>
  </si>
  <si>
    <t>vout</t>
  </si>
  <si>
    <t>vin</t>
  </si>
  <si>
    <t>gain</t>
  </si>
  <si>
    <t>deb</t>
  </si>
  <si>
    <t>Vds=200mv</t>
  </si>
  <si>
    <t>Id</t>
  </si>
  <si>
    <t>Vgs</t>
  </si>
  <si>
    <t>Vds=3v</t>
  </si>
  <si>
    <t>PART 2</t>
  </si>
  <si>
    <t>Vgs=1.5</t>
  </si>
  <si>
    <t>Vds</t>
  </si>
  <si>
    <t>Vgs=2.5</t>
  </si>
  <si>
    <t>Vgs=3.5</t>
  </si>
  <si>
    <t>PART3</t>
  </si>
  <si>
    <t>Vsb=1V</t>
  </si>
  <si>
    <t>Vsb=2</t>
  </si>
  <si>
    <t>Vsb=3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</si>
</sst>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Sheet1!$F$3:$F$17</c:f>
              <c:numCache>
                <c:formatCode>General</c:formatCode>
                <c:ptCount val="15"/>
                <c:pt idx="0">
                  <c:v>11.835200693763008</c:v>
                </c:pt>
                <c:pt idx="1">
                  <c:v>12.074038767898784</c:v>
                </c:pt>
                <c:pt idx="2">
                  <c:v>11.943421424719629</c:v>
                </c:pt>
                <c:pt idx="3">
                  <c:v>11.739924897841728</c:v>
                </c:pt>
                <c:pt idx="4">
                  <c:v>11.872536475821992</c:v>
                </c:pt>
                <c:pt idx="5">
                  <c:v>11.392442976453276</c:v>
                </c:pt>
                <c:pt idx="6">
                  <c:v>11.030478534597352</c:v>
                </c:pt>
                <c:pt idx="7">
                  <c:v>10.358306514975748</c:v>
                </c:pt>
                <c:pt idx="8">
                  <c:v>10.05350718384101</c:v>
                </c:pt>
                <c:pt idx="9">
                  <c:v>9.389845945233052</c:v>
                </c:pt>
                <c:pt idx="10">
                  <c:v>8.9385293872582245</c:v>
                </c:pt>
                <c:pt idx="11">
                  <c:v>8.4698822628885146</c:v>
                </c:pt>
                <c:pt idx="12">
                  <c:v>7.9588001734407516</c:v>
                </c:pt>
                <c:pt idx="13">
                  <c:v>7.5547324516750125</c:v>
                </c:pt>
                <c:pt idx="14">
                  <c:v>7.1175732734265242</c:v>
                </c:pt>
              </c:numCache>
            </c:numRef>
          </c:xVal>
          <c:yVal>
            <c:numRef>
              <c:f>Sheet1!$G$3:$G$17</c:f>
              <c:numCache>
                <c:formatCode>General</c:formatCode>
                <c:ptCount val="1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  <c:pt idx="5">
                  <c:v>150</c:v>
                </c:pt>
                <c:pt idx="6">
                  <c:v>200</c:v>
                </c:pt>
                <c:pt idx="7">
                  <c:v>250</c:v>
                </c:pt>
                <c:pt idx="8">
                  <c:v>300</c:v>
                </c:pt>
                <c:pt idx="9">
                  <c:v>350</c:v>
                </c:pt>
                <c:pt idx="10">
                  <c:v>400</c:v>
                </c:pt>
                <c:pt idx="11">
                  <c:v>450</c:v>
                </c:pt>
                <c:pt idx="12">
                  <c:v>500</c:v>
                </c:pt>
                <c:pt idx="13">
                  <c:v>550</c:v>
                </c:pt>
                <c:pt idx="14">
                  <c:v>600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48-4C12-88D2-B9D10303DB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6665391"/>
        <c:axId val="1853520511"/>
      </c:scatterChart>
      <c:valAx>
        <c:axId val="1756665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520511"/>
        <c:crosses val="autoZero"/>
        <c:crossBetween val="midCat"/>
      </c:valAx>
      <c:valAx>
        <c:axId val="185352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6665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Sheet2!$J$6:$J$12</c:f>
              <c:numCache>
                <c:formatCode>General</c:formatCode>
                <c:ptCount val="7"/>
                <c:pt idx="0">
                  <c:v>0</c:v>
                </c:pt>
                <c:pt idx="1">
                  <c:v>1.5</c:v>
                </c:pt>
                <c:pt idx="2">
                  <c:v>1.8</c:v>
                </c:pt>
                <c:pt idx="3">
                  <c:v>2.1</c:v>
                </c:pt>
                <c:pt idx="4">
                  <c:v>2.4</c:v>
                </c:pt>
                <c:pt idx="5">
                  <c:v>2.7</c:v>
                </c:pt>
                <c:pt idx="6">
                  <c:v>3</c:v>
                </c:pt>
              </c:numCache>
            </c:numRef>
          </c:xVal>
          <c:yVal>
            <c:numRef>
              <c:f>Sheet2!$K$6:$K$12</c:f>
              <c:numCache>
                <c:formatCode>General</c:formatCode>
                <c:ptCount val="7"/>
                <c:pt idx="0">
                  <c:v>-0.01</c:v>
                </c:pt>
                <c:pt idx="1">
                  <c:v>0.02</c:v>
                </c:pt>
                <c:pt idx="2">
                  <c:v>8.5999999999999993E-2</c:v>
                </c:pt>
                <c:pt idx="3">
                  <c:v>0.16800000000000001</c:v>
                </c:pt>
                <c:pt idx="4">
                  <c:v>0.22500000000000001</c:v>
                </c:pt>
                <c:pt idx="5">
                  <c:v>0.27700000000000002</c:v>
                </c:pt>
                <c:pt idx="6">
                  <c:v>0.32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D18-4CF5-83FC-1D708E4A1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774207"/>
        <c:axId val="1357769887"/>
      </c:scatterChart>
      <c:valAx>
        <c:axId val="1357774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769887"/>
        <c:crosses val="autoZero"/>
        <c:crossBetween val="midCat"/>
      </c:valAx>
      <c:valAx>
        <c:axId val="1357769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774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Sheet2!$E$23:$E$30</c:f>
              <c:numCache>
                <c:formatCode>General</c:formatCode>
                <c:ptCount val="8"/>
                <c:pt idx="0">
                  <c:v>0</c:v>
                </c:pt>
                <c:pt idx="1">
                  <c:v>1.3</c:v>
                </c:pt>
                <c:pt idx="2">
                  <c:v>1.5</c:v>
                </c:pt>
                <c:pt idx="3">
                  <c:v>1.8</c:v>
                </c:pt>
                <c:pt idx="4">
                  <c:v>2.1</c:v>
                </c:pt>
                <c:pt idx="5">
                  <c:v>2.4</c:v>
                </c:pt>
                <c:pt idx="6">
                  <c:v>2.7</c:v>
                </c:pt>
                <c:pt idx="7">
                  <c:v>3</c:v>
                </c:pt>
              </c:numCache>
            </c:numRef>
          </c:xVal>
          <c:yVal>
            <c:numRef>
              <c:f>Sheet2!$F$23:$F$30</c:f>
              <c:numCache>
                <c:formatCode>General</c:formatCode>
                <c:ptCount val="8"/>
                <c:pt idx="0">
                  <c:v>-0.01</c:v>
                </c:pt>
                <c:pt idx="1">
                  <c:v>0</c:v>
                </c:pt>
                <c:pt idx="2">
                  <c:v>2.4E-2</c:v>
                </c:pt>
                <c:pt idx="3">
                  <c:v>0.10100000000000001</c:v>
                </c:pt>
                <c:pt idx="4">
                  <c:v>0.247</c:v>
                </c:pt>
                <c:pt idx="5">
                  <c:v>0.48299999999999998</c:v>
                </c:pt>
                <c:pt idx="6">
                  <c:v>0.76</c:v>
                </c:pt>
                <c:pt idx="7">
                  <c:v>1.085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4A-4A38-90B6-BCAFA36F6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3467967"/>
        <c:axId val="1063468927"/>
      </c:scatterChart>
      <c:valAx>
        <c:axId val="1063467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468927"/>
        <c:crosses val="autoZero"/>
        <c:crossBetween val="midCat"/>
      </c:valAx>
      <c:valAx>
        <c:axId val="1063468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467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Sheet2!$C$41:$C$47</c:f>
              <c:numCache>
                <c:formatCode>General</c:formatCode>
                <c:ptCount val="7"/>
                <c:pt idx="0">
                  <c:v>0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0.25</c:v>
                </c:pt>
                <c:pt idx="5">
                  <c:v>2</c:v>
                </c:pt>
                <c:pt idx="6">
                  <c:v>3</c:v>
                </c:pt>
              </c:numCache>
            </c:numRef>
          </c:xVal>
          <c:yVal>
            <c:numRef>
              <c:f>Sheet2!$D$41:$D$47</c:f>
              <c:numCache>
                <c:formatCode>General</c:formatCode>
                <c:ptCount val="7"/>
                <c:pt idx="0">
                  <c:v>0</c:v>
                </c:pt>
                <c:pt idx="1">
                  <c:v>0.01</c:v>
                </c:pt>
                <c:pt idx="2">
                  <c:v>1.2999999999999999E-2</c:v>
                </c:pt>
                <c:pt idx="3">
                  <c:v>1.4999999999999999E-2</c:v>
                </c:pt>
                <c:pt idx="4">
                  <c:v>1.6E-2</c:v>
                </c:pt>
                <c:pt idx="5">
                  <c:v>1.7000000000000001E-2</c:v>
                </c:pt>
                <c:pt idx="6">
                  <c:v>1.7000000000000001E-2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AF9-43A2-9FF5-A75448634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7644735"/>
        <c:axId val="1367641375"/>
      </c:scatterChart>
      <c:valAx>
        <c:axId val="1367644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641375"/>
        <c:crosses val="autoZero"/>
        <c:crossBetween val="midCat"/>
      </c:valAx>
      <c:valAx>
        <c:axId val="136764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644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Sheet2!$C$59:$C$71</c:f>
              <c:numCache>
                <c:formatCode>General</c:formatCode>
                <c:ptCount val="1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0.5</c:v>
                </c:pt>
                <c:pt idx="7">
                  <c:v>0.75</c:v>
                </c:pt>
                <c:pt idx="8">
                  <c:v>1</c:v>
                </c:pt>
                <c:pt idx="9">
                  <c:v>1.5</c:v>
                </c:pt>
                <c:pt idx="10">
                  <c:v>2</c:v>
                </c:pt>
                <c:pt idx="11">
                  <c:v>2.5</c:v>
                </c:pt>
                <c:pt idx="12">
                  <c:v>3</c:v>
                </c:pt>
              </c:numCache>
            </c:numRef>
          </c:xVal>
          <c:yVal>
            <c:numRef>
              <c:f>Sheet2!$D$59:$D$71</c:f>
              <c:numCache>
                <c:formatCode>General</c:formatCode>
                <c:ptCount val="13"/>
                <c:pt idx="0">
                  <c:v>1E-3</c:v>
                </c:pt>
                <c:pt idx="1">
                  <c:v>8.5999999999999993E-2</c:v>
                </c:pt>
                <c:pt idx="2">
                  <c:v>0.14399999999999999</c:v>
                </c:pt>
                <c:pt idx="3">
                  <c:v>0.217</c:v>
                </c:pt>
                <c:pt idx="4">
                  <c:v>0.26800000000000002</c:v>
                </c:pt>
                <c:pt idx="5">
                  <c:v>0.318</c:v>
                </c:pt>
                <c:pt idx="6">
                  <c:v>0.46500000000000002</c:v>
                </c:pt>
                <c:pt idx="7">
                  <c:v>0.504</c:v>
                </c:pt>
                <c:pt idx="8">
                  <c:v>0.51300000000000001</c:v>
                </c:pt>
                <c:pt idx="9">
                  <c:v>0.52100000000000002</c:v>
                </c:pt>
                <c:pt idx="10">
                  <c:v>0.52500000000000002</c:v>
                </c:pt>
                <c:pt idx="11">
                  <c:v>0.52800000000000002</c:v>
                </c:pt>
                <c:pt idx="12">
                  <c:v>0.53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F2A-48E4-B996-5FD1047A4F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3477567"/>
        <c:axId val="1063479487"/>
      </c:scatterChart>
      <c:valAx>
        <c:axId val="1063477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479487"/>
        <c:crosses val="autoZero"/>
        <c:crossBetween val="midCat"/>
      </c:valAx>
      <c:valAx>
        <c:axId val="106347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477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Sheet2!$C$73:$C$86</c:f>
              <c:numCache>
                <c:formatCode>General</c:formatCode>
                <c:ptCount val="14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0.5</c:v>
                </c:pt>
                <c:pt idx="8">
                  <c:v>0.75</c:v>
                </c:pt>
                <c:pt idx="9">
                  <c:v>1</c:v>
                </c:pt>
                <c:pt idx="10">
                  <c:v>1.5</c:v>
                </c:pt>
                <c:pt idx="11">
                  <c:v>2</c:v>
                </c:pt>
                <c:pt idx="12">
                  <c:v>2.5</c:v>
                </c:pt>
                <c:pt idx="13">
                  <c:v>3</c:v>
                </c:pt>
              </c:numCache>
            </c:numRef>
          </c:xVal>
          <c:yVal>
            <c:numRef>
              <c:f>Sheet2!$D$73:$D$86</c:f>
              <c:numCache>
                <c:formatCode>General</c:formatCode>
                <c:ptCount val="14"/>
                <c:pt idx="0">
                  <c:v>1.4999999999999999E-2</c:v>
                </c:pt>
                <c:pt idx="1">
                  <c:v>0.159</c:v>
                </c:pt>
                <c:pt idx="2">
                  <c:v>0.25800000000000001</c:v>
                </c:pt>
                <c:pt idx="3">
                  <c:v>0.36</c:v>
                </c:pt>
                <c:pt idx="4">
                  <c:v>0.49</c:v>
                </c:pt>
                <c:pt idx="5">
                  <c:v>0.58199999999999996</c:v>
                </c:pt>
                <c:pt idx="6">
                  <c:v>0.68300000000000005</c:v>
                </c:pt>
                <c:pt idx="7">
                  <c:v>1.02</c:v>
                </c:pt>
                <c:pt idx="8">
                  <c:v>1.32</c:v>
                </c:pt>
                <c:pt idx="9">
                  <c:v>1.5</c:v>
                </c:pt>
                <c:pt idx="10">
                  <c:v>1.61</c:v>
                </c:pt>
                <c:pt idx="11">
                  <c:v>1.639</c:v>
                </c:pt>
                <c:pt idx="12">
                  <c:v>1.6519999999999999</c:v>
                </c:pt>
                <c:pt idx="13">
                  <c:v>1.66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C9-419B-906E-35567CFD9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2373135"/>
        <c:axId val="957218671"/>
      </c:scatterChart>
      <c:valAx>
        <c:axId val="962373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218671"/>
        <c:crosses val="autoZero"/>
        <c:crossBetween val="midCat"/>
      </c:valAx>
      <c:valAx>
        <c:axId val="95721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373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Sheet2!$C$96:$C$106</c:f>
              <c:numCache>
                <c:formatCode>General</c:formatCode>
                <c:ptCount val="11"/>
                <c:pt idx="0">
                  <c:v>0</c:v>
                </c:pt>
                <c:pt idx="1">
                  <c:v>2.2999999999999998</c:v>
                </c:pt>
                <c:pt idx="2">
                  <c:v>2.5</c:v>
                </c:pt>
                <c:pt idx="3">
                  <c:v>2.7</c:v>
                </c:pt>
                <c:pt idx="4">
                  <c:v>2.8</c:v>
                </c:pt>
                <c:pt idx="5">
                  <c:v>3</c:v>
                </c:pt>
                <c:pt idx="6">
                  <c:v>3.3</c:v>
                </c:pt>
                <c:pt idx="7">
                  <c:v>3.6</c:v>
                </c:pt>
                <c:pt idx="8">
                  <c:v>3.9</c:v>
                </c:pt>
                <c:pt idx="9">
                  <c:v>4.2</c:v>
                </c:pt>
                <c:pt idx="10">
                  <c:v>5</c:v>
                </c:pt>
              </c:numCache>
            </c:numRef>
          </c:xVal>
          <c:yVal>
            <c:numRef>
              <c:f>Sheet2!$D$96:$D$106</c:f>
              <c:numCache>
                <c:formatCode>General</c:formatCode>
                <c:ptCount val="11"/>
                <c:pt idx="0">
                  <c:v>0</c:v>
                </c:pt>
                <c:pt idx="1">
                  <c:v>1E-3</c:v>
                </c:pt>
                <c:pt idx="2">
                  <c:v>0.01</c:v>
                </c:pt>
                <c:pt idx="3">
                  <c:v>0.05</c:v>
                </c:pt>
                <c:pt idx="4">
                  <c:v>7.8E-2</c:v>
                </c:pt>
                <c:pt idx="5">
                  <c:v>0.13700000000000001</c:v>
                </c:pt>
                <c:pt idx="6">
                  <c:v>0.215</c:v>
                </c:pt>
                <c:pt idx="7">
                  <c:v>0.27800000000000002</c:v>
                </c:pt>
                <c:pt idx="8">
                  <c:v>0.33</c:v>
                </c:pt>
                <c:pt idx="9">
                  <c:v>0.373</c:v>
                </c:pt>
                <c:pt idx="10">
                  <c:v>0.45500000000000002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32E-4B45-BDC6-6DE9B4916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3467967"/>
        <c:axId val="1056412335"/>
      </c:scatterChart>
      <c:valAx>
        <c:axId val="1063467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412335"/>
        <c:crosses val="autoZero"/>
        <c:crossBetween val="midCat"/>
      </c:valAx>
      <c:valAx>
        <c:axId val="105641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467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Sheet2!$C$114:$C$123</c:f>
              <c:numCache>
                <c:formatCode>General</c:formatCode>
                <c:ptCount val="10"/>
                <c:pt idx="0">
                  <c:v>0</c:v>
                </c:pt>
                <c:pt idx="1">
                  <c:v>3.1</c:v>
                </c:pt>
                <c:pt idx="2">
                  <c:v>3.3</c:v>
                </c:pt>
                <c:pt idx="3">
                  <c:v>3.5</c:v>
                </c:pt>
                <c:pt idx="4">
                  <c:v>3.75</c:v>
                </c:pt>
                <c:pt idx="5">
                  <c:v>4</c:v>
                </c:pt>
                <c:pt idx="6">
                  <c:v>4.25</c:v>
                </c:pt>
                <c:pt idx="7">
                  <c:v>4.5</c:v>
                </c:pt>
                <c:pt idx="8">
                  <c:v>4.8</c:v>
                </c:pt>
                <c:pt idx="9">
                  <c:v>5</c:v>
                </c:pt>
              </c:numCache>
            </c:numRef>
          </c:xVal>
          <c:yVal>
            <c:numRef>
              <c:f>Sheet2!$D$114:$D$123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0.01</c:v>
                </c:pt>
                <c:pt idx="3">
                  <c:v>0.05</c:v>
                </c:pt>
                <c:pt idx="4">
                  <c:v>0.115</c:v>
                </c:pt>
                <c:pt idx="5">
                  <c:v>0.17499999999999999</c:v>
                </c:pt>
                <c:pt idx="6">
                  <c:v>0.223</c:v>
                </c:pt>
                <c:pt idx="7">
                  <c:v>0.26500000000000001</c:v>
                </c:pt>
                <c:pt idx="8">
                  <c:v>0.307</c:v>
                </c:pt>
                <c:pt idx="9">
                  <c:v>0.32600000000000001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EA3-489C-804D-873113F28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9875999"/>
        <c:axId val="1389867839"/>
      </c:scatterChart>
      <c:valAx>
        <c:axId val="1389875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867839"/>
        <c:crosses val="autoZero"/>
        <c:crossBetween val="midCat"/>
      </c:valAx>
      <c:valAx>
        <c:axId val="1389867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875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Sheet2!$C$135:$C$144</c:f>
              <c:numCache>
                <c:formatCode>General</c:formatCode>
                <c:ptCount val="10"/>
                <c:pt idx="0">
                  <c:v>0</c:v>
                </c:pt>
                <c:pt idx="1">
                  <c:v>3.85</c:v>
                </c:pt>
                <c:pt idx="2">
                  <c:v>4</c:v>
                </c:pt>
                <c:pt idx="3">
                  <c:v>4.2</c:v>
                </c:pt>
                <c:pt idx="4">
                  <c:v>4.5</c:v>
                </c:pt>
                <c:pt idx="5">
                  <c:v>4.7</c:v>
                </c:pt>
                <c:pt idx="6">
                  <c:v>4.8</c:v>
                </c:pt>
                <c:pt idx="7">
                  <c:v>4.8499999999999996</c:v>
                </c:pt>
                <c:pt idx="8">
                  <c:v>4.9000000000000004</c:v>
                </c:pt>
                <c:pt idx="9">
                  <c:v>5</c:v>
                </c:pt>
              </c:numCache>
            </c:numRef>
          </c:xVal>
          <c:yVal>
            <c:numRef>
              <c:f>Sheet2!$D$135:$D$144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1.4999999999999999E-2</c:v>
                </c:pt>
                <c:pt idx="3">
                  <c:v>5.3999999999999999E-2</c:v>
                </c:pt>
                <c:pt idx="4">
                  <c:v>0.13</c:v>
                </c:pt>
                <c:pt idx="5">
                  <c:v>0.17499999999999999</c:v>
                </c:pt>
                <c:pt idx="6">
                  <c:v>0.19500000000000001</c:v>
                </c:pt>
                <c:pt idx="7">
                  <c:v>0.20499999999999999</c:v>
                </c:pt>
                <c:pt idx="8">
                  <c:v>0.215</c:v>
                </c:pt>
                <c:pt idx="9">
                  <c:v>0.223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3D1-4E79-90B4-BAA00568F7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9886079"/>
        <c:axId val="1389885599"/>
      </c:scatterChart>
      <c:valAx>
        <c:axId val="1389886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885599"/>
        <c:crosses val="autoZero"/>
        <c:crossBetween val="midCat"/>
      </c:valAx>
      <c:valAx>
        <c:axId val="1389885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886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83820</xdr:rowOff>
    </xdr:from>
    <xdr:to>
      <xdr:col>15</xdr:col>
      <xdr:colOff>228600</xdr:colOff>
      <xdr:row>21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6A86F6-B4CF-CA48-16E8-930529B9AC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472440</xdr:colOff>
      <xdr:row>0</xdr:row>
      <xdr:rowOff>160020</xdr:rowOff>
    </xdr:from>
    <xdr:to>
      <xdr:col>20</xdr:col>
      <xdr:colOff>167640</xdr:colOff>
      <xdr:row>15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C10E7A-9385-3255-2D66-99FFDAD989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601980</xdr:colOff>
      <xdr:row>19</xdr:row>
      <xdr:rowOff>7620</xdr:rowOff>
    </xdr:from>
    <xdr:to>
      <xdr:col>15</xdr:col>
      <xdr:colOff>297180</xdr:colOff>
      <xdr:row>34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95B005-9FC0-7F23-E6B7-AFEAB9AAE8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38100</xdr:colOff>
      <xdr:row>36</xdr:row>
      <xdr:rowOff>7620</xdr:rowOff>
    </xdr:from>
    <xdr:to>
      <xdr:col>13</xdr:col>
      <xdr:colOff>342900</xdr:colOff>
      <xdr:row>51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B823F65-0FA3-5CB2-3736-766BC96863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548640</xdr:colOff>
      <xdr:row>55</xdr:row>
      <xdr:rowOff>144780</xdr:rowOff>
    </xdr:from>
    <xdr:to>
      <xdr:col>13</xdr:col>
      <xdr:colOff>243840</xdr:colOff>
      <xdr:row>70</xdr:row>
      <xdr:rowOff>144780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04ED00D-FF69-C993-53A7-BEE383B34C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594360</xdr:colOff>
      <xdr:row>71</xdr:row>
      <xdr:rowOff>175260</xdr:rowOff>
    </xdr:from>
    <xdr:to>
      <xdr:col>13</xdr:col>
      <xdr:colOff>289560</xdr:colOff>
      <xdr:row>86</xdr:row>
      <xdr:rowOff>175260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3B88AD1-9B67-ECF9-21D2-DA1BB725A1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533400</xdr:colOff>
      <xdr:row>93</xdr:row>
      <xdr:rowOff>76200</xdr:rowOff>
    </xdr:from>
    <xdr:to>
      <xdr:col>15</xdr:col>
      <xdr:colOff>228600</xdr:colOff>
      <xdr:row>108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4A569BD-34B0-452B-062F-374BC703FB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533400</xdr:colOff>
      <xdr:row>113</xdr:row>
      <xdr:rowOff>152400</xdr:rowOff>
    </xdr:from>
    <xdr:to>
      <xdr:col>15</xdr:col>
      <xdr:colOff>228600</xdr:colOff>
      <xdr:row>128</xdr:row>
      <xdr:rowOff>152400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01BE5E2-053E-DDEF-A1D6-98EADD13F2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396240</xdr:colOff>
      <xdr:row>130</xdr:row>
      <xdr:rowOff>83820</xdr:rowOff>
    </xdr:from>
    <xdr:to>
      <xdr:col>15</xdr:col>
      <xdr:colOff>91440</xdr:colOff>
      <xdr:row>145</xdr:row>
      <xdr:rowOff>83820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546EDB1-065D-4838-1A2E-C08DF49B14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AB026-EC5F-47DC-9FAA-941DEB17F7A8}">
  <dimension ref="B2:G44"/>
  <sheetViews>
    <sheetView topLeftCell="A32" workbookViewId="0">
      <selection activeCell="G43" sqref="G43"/>
    </sheetView>
  </sheetViews>
  <sheetFormatPr defaultRowHeight="14.4" x14ac:dyDescent="0.3"/>
  <sheetData>
    <row r="2" spans="2:7" x14ac:dyDescent="0.3">
      <c r="B2" t="s">
        <v>0</v>
      </c>
      <c r="C2" t="s">
        <v>2</v>
      </c>
      <c r="D2" t="s">
        <v>1</v>
      </c>
      <c r="E2" t="s">
        <v>3</v>
      </c>
      <c r="F2" t="s">
        <v>4</v>
      </c>
    </row>
    <row r="3" spans="2:7" x14ac:dyDescent="0.3">
      <c r="B3">
        <v>1</v>
      </c>
      <c r="C3">
        <v>512</v>
      </c>
      <c r="D3">
        <v>2000</v>
      </c>
      <c r="E3">
        <f>D3/C3</f>
        <v>3.90625</v>
      </c>
      <c r="F3">
        <f>20*LOG10(E3)</f>
        <v>11.835200693763008</v>
      </c>
      <c r="G3">
        <v>1</v>
      </c>
    </row>
    <row r="4" spans="2:7" x14ac:dyDescent="0.3">
      <c r="B4">
        <v>5</v>
      </c>
      <c r="C4">
        <v>528</v>
      </c>
      <c r="D4">
        <v>2120</v>
      </c>
      <c r="E4">
        <f t="shared" ref="E4:E17" si="0">D4/C4</f>
        <v>4.0151515151515156</v>
      </c>
      <c r="F4">
        <f t="shared" ref="F4:F17" si="1">20*LOG10(E4)</f>
        <v>12.074038767898784</v>
      </c>
      <c r="G4">
        <v>5</v>
      </c>
    </row>
    <row r="5" spans="2:7" x14ac:dyDescent="0.3">
      <c r="B5">
        <v>10</v>
      </c>
      <c r="C5">
        <v>536</v>
      </c>
      <c r="D5">
        <v>2120</v>
      </c>
      <c r="E5">
        <f t="shared" si="0"/>
        <v>3.955223880597015</v>
      </c>
      <c r="F5">
        <f t="shared" si="1"/>
        <v>11.943421424719629</v>
      </c>
      <c r="G5">
        <v>10</v>
      </c>
    </row>
    <row r="6" spans="2:7" x14ac:dyDescent="0.3">
      <c r="B6">
        <v>50</v>
      </c>
      <c r="C6">
        <v>528</v>
      </c>
      <c r="D6">
        <v>2040</v>
      </c>
      <c r="E6">
        <f t="shared" si="0"/>
        <v>3.8636363636363638</v>
      </c>
      <c r="F6">
        <f t="shared" si="1"/>
        <v>11.739924897841728</v>
      </c>
      <c r="G6">
        <v>50</v>
      </c>
    </row>
    <row r="7" spans="2:7" x14ac:dyDescent="0.3">
      <c r="B7">
        <v>100</v>
      </c>
      <c r="C7">
        <v>520</v>
      </c>
      <c r="D7">
        <v>2040</v>
      </c>
      <c r="E7">
        <f t="shared" si="0"/>
        <v>3.9230769230769229</v>
      </c>
      <c r="F7">
        <f t="shared" si="1"/>
        <v>11.872536475821992</v>
      </c>
      <c r="G7">
        <v>100</v>
      </c>
    </row>
    <row r="8" spans="2:7" x14ac:dyDescent="0.3">
      <c r="B8">
        <v>150</v>
      </c>
      <c r="C8">
        <v>528</v>
      </c>
      <c r="D8">
        <v>1960</v>
      </c>
      <c r="E8">
        <f t="shared" si="0"/>
        <v>3.7121212121212119</v>
      </c>
      <c r="F8">
        <f t="shared" si="1"/>
        <v>11.392442976453276</v>
      </c>
      <c r="G8">
        <v>150</v>
      </c>
    </row>
    <row r="9" spans="2:7" x14ac:dyDescent="0.3">
      <c r="B9">
        <v>200</v>
      </c>
      <c r="C9">
        <v>528</v>
      </c>
      <c r="D9">
        <v>1880</v>
      </c>
      <c r="E9">
        <f t="shared" si="0"/>
        <v>3.5606060606060606</v>
      </c>
      <c r="F9">
        <f t="shared" si="1"/>
        <v>11.030478534597352</v>
      </c>
      <c r="G9">
        <v>200</v>
      </c>
    </row>
    <row r="10" spans="2:7" x14ac:dyDescent="0.3">
      <c r="B10">
        <v>250</v>
      </c>
      <c r="C10">
        <v>528</v>
      </c>
      <c r="D10">
        <v>1740</v>
      </c>
      <c r="E10">
        <f t="shared" si="0"/>
        <v>3.2954545454545454</v>
      </c>
      <c r="F10">
        <f t="shared" si="1"/>
        <v>10.358306514975748</v>
      </c>
      <c r="G10">
        <v>250</v>
      </c>
    </row>
    <row r="11" spans="2:7" x14ac:dyDescent="0.3">
      <c r="B11">
        <v>300</v>
      </c>
      <c r="C11">
        <v>528</v>
      </c>
      <c r="D11">
        <v>1680</v>
      </c>
      <c r="E11">
        <f t="shared" si="0"/>
        <v>3.1818181818181817</v>
      </c>
      <c r="F11">
        <f t="shared" si="1"/>
        <v>10.05350718384101</v>
      </c>
      <c r="G11">
        <v>300</v>
      </c>
    </row>
    <row r="12" spans="2:7" x14ac:dyDescent="0.3">
      <c r="B12">
        <v>350</v>
      </c>
      <c r="C12">
        <v>536</v>
      </c>
      <c r="D12">
        <v>1580</v>
      </c>
      <c r="E12">
        <f t="shared" si="0"/>
        <v>2.9477611940298507</v>
      </c>
      <c r="F12">
        <f t="shared" si="1"/>
        <v>9.389845945233052</v>
      </c>
      <c r="G12">
        <v>350</v>
      </c>
    </row>
    <row r="13" spans="2:7" x14ac:dyDescent="0.3">
      <c r="B13">
        <v>400</v>
      </c>
      <c r="C13">
        <v>536</v>
      </c>
      <c r="D13">
        <v>1500</v>
      </c>
      <c r="E13">
        <f t="shared" si="0"/>
        <v>2.7985074626865671</v>
      </c>
      <c r="F13">
        <f t="shared" si="1"/>
        <v>8.9385293872582245</v>
      </c>
      <c r="G13">
        <v>400</v>
      </c>
    </row>
    <row r="14" spans="2:7" x14ac:dyDescent="0.3">
      <c r="B14">
        <v>450</v>
      </c>
      <c r="C14">
        <v>528</v>
      </c>
      <c r="D14">
        <v>1400</v>
      </c>
      <c r="E14">
        <f t="shared" si="0"/>
        <v>2.6515151515151514</v>
      </c>
      <c r="F14">
        <f t="shared" si="1"/>
        <v>8.4698822628885146</v>
      </c>
      <c r="G14">
        <v>450</v>
      </c>
    </row>
    <row r="15" spans="2:7" x14ac:dyDescent="0.3">
      <c r="B15">
        <v>500</v>
      </c>
      <c r="C15">
        <v>528</v>
      </c>
      <c r="D15">
        <v>1320</v>
      </c>
      <c r="E15">
        <f t="shared" si="0"/>
        <v>2.5</v>
      </c>
      <c r="F15">
        <f t="shared" si="1"/>
        <v>7.9588001734407516</v>
      </c>
      <c r="G15">
        <v>500</v>
      </c>
    </row>
    <row r="16" spans="2:7" x14ac:dyDescent="0.3">
      <c r="B16">
        <v>550</v>
      </c>
      <c r="C16">
        <v>528</v>
      </c>
      <c r="D16">
        <v>1260</v>
      </c>
      <c r="E16">
        <f t="shared" si="0"/>
        <v>2.3863636363636362</v>
      </c>
      <c r="F16">
        <f t="shared" si="1"/>
        <v>7.5547324516750125</v>
      </c>
      <c r="G16">
        <v>550</v>
      </c>
    </row>
    <row r="17" spans="2:7" x14ac:dyDescent="0.3">
      <c r="B17">
        <v>600</v>
      </c>
      <c r="C17">
        <v>520</v>
      </c>
      <c r="D17">
        <v>1180</v>
      </c>
      <c r="E17">
        <f t="shared" si="0"/>
        <v>2.2692307692307692</v>
      </c>
      <c r="F17">
        <f t="shared" si="1"/>
        <v>7.1175732734265242</v>
      </c>
      <c r="G17">
        <v>600</v>
      </c>
    </row>
    <row r="26" spans="2:7" x14ac:dyDescent="0.3">
      <c r="B26" t="s">
        <v>0</v>
      </c>
      <c r="C26" t="s">
        <v>2</v>
      </c>
      <c r="D26" t="s">
        <v>1</v>
      </c>
    </row>
    <row r="27" spans="2:7" x14ac:dyDescent="0.3">
      <c r="B27">
        <v>1</v>
      </c>
      <c r="C27">
        <v>520</v>
      </c>
      <c r="D27">
        <v>1780</v>
      </c>
    </row>
    <row r="28" spans="2:7" x14ac:dyDescent="0.3">
      <c r="B28">
        <v>5</v>
      </c>
      <c r="C28">
        <v>528</v>
      </c>
      <c r="D28">
        <v>1840</v>
      </c>
    </row>
    <row r="29" spans="2:7" x14ac:dyDescent="0.3">
      <c r="B29">
        <v>10</v>
      </c>
      <c r="C29">
        <v>528</v>
      </c>
      <c r="D29">
        <v>1840</v>
      </c>
    </row>
    <row r="30" spans="2:7" x14ac:dyDescent="0.3">
      <c r="B30">
        <v>50</v>
      </c>
      <c r="C30">
        <v>520</v>
      </c>
      <c r="D30">
        <v>1840</v>
      </c>
    </row>
    <row r="31" spans="2:7" x14ac:dyDescent="0.3">
      <c r="B31">
        <v>100</v>
      </c>
      <c r="C31">
        <v>520</v>
      </c>
      <c r="D31">
        <v>1840</v>
      </c>
    </row>
    <row r="32" spans="2:7" x14ac:dyDescent="0.3">
      <c r="B32">
        <v>150</v>
      </c>
      <c r="C32">
        <v>528</v>
      </c>
      <c r="D32">
        <v>1760</v>
      </c>
    </row>
    <row r="33" spans="2:4" x14ac:dyDescent="0.3">
      <c r="B33">
        <v>200</v>
      </c>
      <c r="C33">
        <v>528</v>
      </c>
      <c r="D33">
        <v>1740</v>
      </c>
    </row>
    <row r="34" spans="2:4" x14ac:dyDescent="0.3">
      <c r="B34">
        <v>250</v>
      </c>
      <c r="C34">
        <v>528</v>
      </c>
      <c r="D34">
        <v>1720</v>
      </c>
    </row>
    <row r="35" spans="2:4" x14ac:dyDescent="0.3">
      <c r="B35">
        <v>300</v>
      </c>
      <c r="C35">
        <v>536</v>
      </c>
      <c r="D35">
        <v>1700</v>
      </c>
    </row>
    <row r="36" spans="2:4" x14ac:dyDescent="0.3">
      <c r="B36">
        <v>350</v>
      </c>
      <c r="C36">
        <v>520</v>
      </c>
      <c r="D36">
        <v>1640</v>
      </c>
    </row>
    <row r="37" spans="2:4" x14ac:dyDescent="0.3">
      <c r="B37">
        <v>400</v>
      </c>
      <c r="C37">
        <v>528</v>
      </c>
      <c r="D37">
        <v>1580</v>
      </c>
    </row>
    <row r="38" spans="2:4" x14ac:dyDescent="0.3">
      <c r="B38">
        <v>450</v>
      </c>
      <c r="C38">
        <v>528</v>
      </c>
      <c r="D38">
        <v>1560</v>
      </c>
    </row>
    <row r="39" spans="2:4" x14ac:dyDescent="0.3">
      <c r="B39">
        <v>500</v>
      </c>
      <c r="C39">
        <v>528</v>
      </c>
      <c r="D39">
        <v>1500</v>
      </c>
    </row>
    <row r="40" spans="2:4" x14ac:dyDescent="0.3">
      <c r="B40">
        <v>550</v>
      </c>
      <c r="C40">
        <v>528</v>
      </c>
      <c r="D40">
        <v>1460</v>
      </c>
    </row>
    <row r="41" spans="2:4" x14ac:dyDescent="0.3">
      <c r="B41">
        <v>600</v>
      </c>
      <c r="C41">
        <v>528</v>
      </c>
      <c r="D41">
        <v>1420</v>
      </c>
    </row>
    <row r="42" spans="2:4" x14ac:dyDescent="0.3">
      <c r="B42">
        <v>700</v>
      </c>
      <c r="C42">
        <v>528</v>
      </c>
      <c r="D42">
        <v>1320</v>
      </c>
    </row>
    <row r="43" spans="2:4" x14ac:dyDescent="0.3">
      <c r="B43">
        <v>800</v>
      </c>
      <c r="C43">
        <v>528</v>
      </c>
      <c r="D43">
        <v>1220</v>
      </c>
    </row>
    <row r="44" spans="2:4" x14ac:dyDescent="0.3">
      <c r="B44">
        <v>900</v>
      </c>
      <c r="C44">
        <v>528</v>
      </c>
      <c r="D44">
        <v>1140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8A938-4CFF-4876-A433-AFE9F1EBA340}">
  <dimension ref="A4:K144"/>
  <sheetViews>
    <sheetView tabSelected="1" topLeftCell="A118" workbookViewId="0">
      <selection activeCell="C135" sqref="C135:D144"/>
    </sheetView>
  </sheetViews>
  <sheetFormatPr defaultRowHeight="14.4" x14ac:dyDescent="0.3"/>
  <sheetData>
    <row r="4" spans="10:11" x14ac:dyDescent="0.3">
      <c r="J4" t="s">
        <v>5</v>
      </c>
    </row>
    <row r="5" spans="10:11" x14ac:dyDescent="0.3">
      <c r="J5" t="s">
        <v>7</v>
      </c>
      <c r="K5" t="s">
        <v>6</v>
      </c>
    </row>
    <row r="6" spans="10:11" x14ac:dyDescent="0.3">
      <c r="J6">
        <v>0</v>
      </c>
      <c r="K6">
        <v>-0.01</v>
      </c>
    </row>
    <row r="7" spans="10:11" x14ac:dyDescent="0.3">
      <c r="J7">
        <v>1.5</v>
      </c>
      <c r="K7">
        <v>0.02</v>
      </c>
    </row>
    <row r="8" spans="10:11" x14ac:dyDescent="0.3">
      <c r="J8">
        <v>1.8</v>
      </c>
      <c r="K8">
        <v>8.5999999999999993E-2</v>
      </c>
    </row>
    <row r="9" spans="10:11" x14ac:dyDescent="0.3">
      <c r="J9">
        <v>2.1</v>
      </c>
      <c r="K9">
        <v>0.16800000000000001</v>
      </c>
    </row>
    <row r="10" spans="10:11" x14ac:dyDescent="0.3">
      <c r="J10">
        <v>2.4</v>
      </c>
      <c r="K10">
        <v>0.22500000000000001</v>
      </c>
    </row>
    <row r="11" spans="10:11" x14ac:dyDescent="0.3">
      <c r="J11">
        <v>2.7</v>
      </c>
      <c r="K11">
        <v>0.27700000000000002</v>
      </c>
    </row>
    <row r="12" spans="10:11" x14ac:dyDescent="0.3">
      <c r="J12">
        <v>3</v>
      </c>
      <c r="K12">
        <v>0.32</v>
      </c>
    </row>
    <row r="21" spans="5:6" x14ac:dyDescent="0.3">
      <c r="E21" t="s">
        <v>8</v>
      </c>
    </row>
    <row r="22" spans="5:6" x14ac:dyDescent="0.3">
      <c r="E22" t="s">
        <v>7</v>
      </c>
      <c r="F22" t="s">
        <v>6</v>
      </c>
    </row>
    <row r="23" spans="5:6" x14ac:dyDescent="0.3">
      <c r="E23">
        <v>0</v>
      </c>
      <c r="F23">
        <v>-0.01</v>
      </c>
    </row>
    <row r="24" spans="5:6" x14ac:dyDescent="0.3">
      <c r="E24">
        <v>1.3</v>
      </c>
      <c r="F24">
        <v>0</v>
      </c>
    </row>
    <row r="25" spans="5:6" x14ac:dyDescent="0.3">
      <c r="E25">
        <v>1.5</v>
      </c>
      <c r="F25">
        <v>2.4E-2</v>
      </c>
    </row>
    <row r="26" spans="5:6" x14ac:dyDescent="0.3">
      <c r="E26">
        <v>1.8</v>
      </c>
      <c r="F26">
        <v>0.10100000000000001</v>
      </c>
    </row>
    <row r="27" spans="5:6" x14ac:dyDescent="0.3">
      <c r="E27">
        <v>2.1</v>
      </c>
      <c r="F27">
        <v>0.247</v>
      </c>
    </row>
    <row r="28" spans="5:6" x14ac:dyDescent="0.3">
      <c r="E28">
        <v>2.4</v>
      </c>
      <c r="F28">
        <v>0.48299999999999998</v>
      </c>
    </row>
    <row r="29" spans="5:6" x14ac:dyDescent="0.3">
      <c r="E29">
        <v>2.7</v>
      </c>
      <c r="F29">
        <v>0.76</v>
      </c>
    </row>
    <row r="30" spans="5:6" x14ac:dyDescent="0.3">
      <c r="E30">
        <v>3</v>
      </c>
      <c r="F30">
        <v>1.085</v>
      </c>
    </row>
    <row r="38" spans="3:4" x14ac:dyDescent="0.3">
      <c r="C38" t="s">
        <v>9</v>
      </c>
    </row>
    <row r="39" spans="3:4" x14ac:dyDescent="0.3">
      <c r="C39" t="s">
        <v>10</v>
      </c>
    </row>
    <row r="40" spans="3:4" x14ac:dyDescent="0.3">
      <c r="C40" t="s">
        <v>11</v>
      </c>
      <c r="D40" t="s">
        <v>6</v>
      </c>
    </row>
    <row r="41" spans="3:4" x14ac:dyDescent="0.3">
      <c r="C41">
        <v>0</v>
      </c>
      <c r="D41">
        <v>0</v>
      </c>
    </row>
    <row r="42" spans="3:4" x14ac:dyDescent="0.3">
      <c r="C42">
        <v>0.06</v>
      </c>
      <c r="D42">
        <v>0.01</v>
      </c>
    </row>
    <row r="43" spans="3:4" x14ac:dyDescent="0.3">
      <c r="C43">
        <v>0.1</v>
      </c>
      <c r="D43">
        <v>1.2999999999999999E-2</v>
      </c>
    </row>
    <row r="44" spans="3:4" x14ac:dyDescent="0.3">
      <c r="C44">
        <v>0.14000000000000001</v>
      </c>
      <c r="D44">
        <v>1.4999999999999999E-2</v>
      </c>
    </row>
    <row r="45" spans="3:4" x14ac:dyDescent="0.3">
      <c r="C45">
        <v>0.25</v>
      </c>
      <c r="D45">
        <v>1.6E-2</v>
      </c>
    </row>
    <row r="46" spans="3:4" x14ac:dyDescent="0.3">
      <c r="C46">
        <v>2</v>
      </c>
      <c r="D46">
        <v>1.7000000000000001E-2</v>
      </c>
    </row>
    <row r="47" spans="3:4" x14ac:dyDescent="0.3">
      <c r="C47">
        <v>3</v>
      </c>
      <c r="D47">
        <v>1.7000000000000001E-2</v>
      </c>
    </row>
    <row r="57" spans="3:4" x14ac:dyDescent="0.3">
      <c r="C57" t="s">
        <v>12</v>
      </c>
    </row>
    <row r="58" spans="3:4" x14ac:dyDescent="0.3">
      <c r="C58" t="s">
        <v>11</v>
      </c>
      <c r="D58" t="s">
        <v>6</v>
      </c>
    </row>
    <row r="59" spans="3:4" x14ac:dyDescent="0.3">
      <c r="C59">
        <v>0</v>
      </c>
      <c r="D59">
        <v>1E-3</v>
      </c>
    </row>
    <row r="60" spans="3:4" x14ac:dyDescent="0.3">
      <c r="C60">
        <v>0.05</v>
      </c>
      <c r="D60">
        <v>8.5999999999999993E-2</v>
      </c>
    </row>
    <row r="61" spans="3:4" x14ac:dyDescent="0.3">
      <c r="C61">
        <v>0.1</v>
      </c>
      <c r="D61">
        <v>0.14399999999999999</v>
      </c>
    </row>
    <row r="62" spans="3:4" x14ac:dyDescent="0.3">
      <c r="C62">
        <v>0.15</v>
      </c>
      <c r="D62">
        <v>0.217</v>
      </c>
    </row>
    <row r="63" spans="3:4" x14ac:dyDescent="0.3">
      <c r="C63">
        <v>0.2</v>
      </c>
      <c r="D63">
        <v>0.26800000000000002</v>
      </c>
    </row>
    <row r="64" spans="3:4" x14ac:dyDescent="0.3">
      <c r="C64">
        <v>0.25</v>
      </c>
      <c r="D64">
        <v>0.318</v>
      </c>
    </row>
    <row r="65" spans="1:4" x14ac:dyDescent="0.3">
      <c r="C65">
        <v>0.5</v>
      </c>
      <c r="D65">
        <v>0.46500000000000002</v>
      </c>
    </row>
    <row r="66" spans="1:4" x14ac:dyDescent="0.3">
      <c r="C66">
        <v>0.75</v>
      </c>
      <c r="D66">
        <v>0.504</v>
      </c>
    </row>
    <row r="67" spans="1:4" x14ac:dyDescent="0.3">
      <c r="C67">
        <v>1</v>
      </c>
      <c r="D67">
        <v>0.51300000000000001</v>
      </c>
    </row>
    <row r="68" spans="1:4" x14ac:dyDescent="0.3">
      <c r="C68">
        <v>1.5</v>
      </c>
      <c r="D68">
        <v>0.52100000000000002</v>
      </c>
    </row>
    <row r="69" spans="1:4" x14ac:dyDescent="0.3">
      <c r="C69">
        <v>2</v>
      </c>
      <c r="D69">
        <v>0.52500000000000002</v>
      </c>
    </row>
    <row r="70" spans="1:4" x14ac:dyDescent="0.3">
      <c r="C70">
        <v>2.5</v>
      </c>
      <c r="D70">
        <v>0.52800000000000002</v>
      </c>
    </row>
    <row r="71" spans="1:4" x14ac:dyDescent="0.3">
      <c r="C71">
        <v>3</v>
      </c>
      <c r="D71">
        <v>0.53</v>
      </c>
    </row>
    <row r="72" spans="1:4" x14ac:dyDescent="0.3">
      <c r="A72" t="s">
        <v>13</v>
      </c>
    </row>
    <row r="73" spans="1:4" x14ac:dyDescent="0.3">
      <c r="C73">
        <v>0</v>
      </c>
      <c r="D73">
        <v>1.4999999999999999E-2</v>
      </c>
    </row>
    <row r="74" spans="1:4" x14ac:dyDescent="0.3">
      <c r="C74">
        <v>0.05</v>
      </c>
      <c r="D74">
        <v>0.159</v>
      </c>
    </row>
    <row r="75" spans="1:4" x14ac:dyDescent="0.3">
      <c r="C75">
        <v>0.1</v>
      </c>
      <c r="D75">
        <v>0.25800000000000001</v>
      </c>
    </row>
    <row r="76" spans="1:4" x14ac:dyDescent="0.3">
      <c r="C76">
        <v>0.15</v>
      </c>
      <c r="D76">
        <v>0.36</v>
      </c>
    </row>
    <row r="77" spans="1:4" x14ac:dyDescent="0.3">
      <c r="C77">
        <v>0.2</v>
      </c>
      <c r="D77">
        <v>0.49</v>
      </c>
    </row>
    <row r="78" spans="1:4" x14ac:dyDescent="0.3">
      <c r="C78">
        <v>0.25</v>
      </c>
      <c r="D78">
        <v>0.58199999999999996</v>
      </c>
    </row>
    <row r="79" spans="1:4" x14ac:dyDescent="0.3">
      <c r="C79">
        <v>0.3</v>
      </c>
      <c r="D79">
        <v>0.68300000000000005</v>
      </c>
    </row>
    <row r="80" spans="1:4" x14ac:dyDescent="0.3">
      <c r="C80">
        <v>0.5</v>
      </c>
      <c r="D80">
        <v>1.02</v>
      </c>
    </row>
    <row r="81" spans="3:4" x14ac:dyDescent="0.3">
      <c r="C81">
        <v>0.75</v>
      </c>
      <c r="D81">
        <v>1.32</v>
      </c>
    </row>
    <row r="82" spans="3:4" x14ac:dyDescent="0.3">
      <c r="C82">
        <v>1</v>
      </c>
      <c r="D82">
        <v>1.5</v>
      </c>
    </row>
    <row r="83" spans="3:4" x14ac:dyDescent="0.3">
      <c r="C83">
        <v>1.5</v>
      </c>
      <c r="D83">
        <v>1.61</v>
      </c>
    </row>
    <row r="84" spans="3:4" x14ac:dyDescent="0.3">
      <c r="C84">
        <v>2</v>
      </c>
      <c r="D84">
        <v>1.639</v>
      </c>
    </row>
    <row r="85" spans="3:4" x14ac:dyDescent="0.3">
      <c r="C85">
        <v>2.5</v>
      </c>
      <c r="D85">
        <v>1.6519999999999999</v>
      </c>
    </row>
    <row r="86" spans="3:4" x14ac:dyDescent="0.3">
      <c r="C86">
        <v>3</v>
      </c>
      <c r="D86">
        <v>1.66</v>
      </c>
    </row>
    <row r="93" spans="3:4" x14ac:dyDescent="0.3">
      <c r="C93" t="s">
        <v>14</v>
      </c>
    </row>
    <row r="94" spans="3:4" x14ac:dyDescent="0.3">
      <c r="C94" t="s">
        <v>15</v>
      </c>
    </row>
    <row r="95" spans="3:4" x14ac:dyDescent="0.3">
      <c r="C95" t="s">
        <v>7</v>
      </c>
      <c r="D95" t="s">
        <v>6</v>
      </c>
    </row>
    <row r="96" spans="3:4" x14ac:dyDescent="0.3">
      <c r="C96">
        <v>0</v>
      </c>
      <c r="D96">
        <v>0</v>
      </c>
    </row>
    <row r="97" spans="3:4" x14ac:dyDescent="0.3">
      <c r="C97">
        <v>2.2999999999999998</v>
      </c>
      <c r="D97">
        <v>1E-3</v>
      </c>
    </row>
    <row r="98" spans="3:4" x14ac:dyDescent="0.3">
      <c r="C98">
        <v>2.5</v>
      </c>
      <c r="D98">
        <v>0.01</v>
      </c>
    </row>
    <row r="99" spans="3:4" x14ac:dyDescent="0.3">
      <c r="C99">
        <v>2.7</v>
      </c>
      <c r="D99">
        <v>0.05</v>
      </c>
    </row>
    <row r="100" spans="3:4" x14ac:dyDescent="0.3">
      <c r="C100">
        <v>2.8</v>
      </c>
      <c r="D100">
        <v>7.8E-2</v>
      </c>
    </row>
    <row r="101" spans="3:4" x14ac:dyDescent="0.3">
      <c r="C101">
        <v>3</v>
      </c>
      <c r="D101">
        <v>0.13700000000000001</v>
      </c>
    </row>
    <row r="102" spans="3:4" x14ac:dyDescent="0.3">
      <c r="C102">
        <v>3.3</v>
      </c>
      <c r="D102">
        <v>0.215</v>
      </c>
    </row>
    <row r="103" spans="3:4" x14ac:dyDescent="0.3">
      <c r="C103">
        <v>3.6</v>
      </c>
      <c r="D103">
        <v>0.27800000000000002</v>
      </c>
    </row>
    <row r="104" spans="3:4" x14ac:dyDescent="0.3">
      <c r="C104">
        <v>3.9</v>
      </c>
      <c r="D104">
        <v>0.33</v>
      </c>
    </row>
    <row r="105" spans="3:4" x14ac:dyDescent="0.3">
      <c r="C105">
        <v>4.2</v>
      </c>
      <c r="D105">
        <v>0.373</v>
      </c>
    </row>
    <row r="106" spans="3:4" x14ac:dyDescent="0.3">
      <c r="C106">
        <v>5</v>
      </c>
      <c r="D106">
        <v>0.45500000000000002</v>
      </c>
    </row>
    <row r="112" spans="3:4" x14ac:dyDescent="0.3">
      <c r="C112" t="s">
        <v>16</v>
      </c>
    </row>
    <row r="113" spans="3:4" x14ac:dyDescent="0.3">
      <c r="C113" t="s">
        <v>7</v>
      </c>
      <c r="D113" t="s">
        <v>6</v>
      </c>
    </row>
    <row r="114" spans="3:4" x14ac:dyDescent="0.3">
      <c r="C114">
        <v>0</v>
      </c>
      <c r="D114">
        <v>0</v>
      </c>
    </row>
    <row r="115" spans="3:4" x14ac:dyDescent="0.3">
      <c r="C115">
        <v>3.1</v>
      </c>
      <c r="D115">
        <v>0</v>
      </c>
    </row>
    <row r="116" spans="3:4" x14ac:dyDescent="0.3">
      <c r="C116">
        <v>3.3</v>
      </c>
      <c r="D116">
        <v>0.01</v>
      </c>
    </row>
    <row r="117" spans="3:4" x14ac:dyDescent="0.3">
      <c r="C117">
        <v>3.5</v>
      </c>
      <c r="D117">
        <v>0.05</v>
      </c>
    </row>
    <row r="118" spans="3:4" x14ac:dyDescent="0.3">
      <c r="C118">
        <v>3.75</v>
      </c>
      <c r="D118">
        <v>0.115</v>
      </c>
    </row>
    <row r="119" spans="3:4" x14ac:dyDescent="0.3">
      <c r="C119">
        <v>4</v>
      </c>
      <c r="D119">
        <v>0.17499999999999999</v>
      </c>
    </row>
    <row r="120" spans="3:4" x14ac:dyDescent="0.3">
      <c r="C120">
        <v>4.25</v>
      </c>
      <c r="D120">
        <v>0.223</v>
      </c>
    </row>
    <row r="121" spans="3:4" x14ac:dyDescent="0.3">
      <c r="C121">
        <v>4.5</v>
      </c>
      <c r="D121">
        <v>0.26500000000000001</v>
      </c>
    </row>
    <row r="122" spans="3:4" x14ac:dyDescent="0.3">
      <c r="C122">
        <v>4.8</v>
      </c>
      <c r="D122">
        <v>0.307</v>
      </c>
    </row>
    <row r="123" spans="3:4" x14ac:dyDescent="0.3">
      <c r="C123">
        <v>5</v>
      </c>
      <c r="D123">
        <v>0.32600000000000001</v>
      </c>
    </row>
    <row r="133" spans="3:4" x14ac:dyDescent="0.3">
      <c r="C133" t="s">
        <v>17</v>
      </c>
    </row>
    <row r="134" spans="3:4" x14ac:dyDescent="0.3">
      <c r="C134" t="s">
        <v>7</v>
      </c>
      <c r="D134" t="s">
        <v>6</v>
      </c>
    </row>
    <row r="135" spans="3:4" x14ac:dyDescent="0.3">
      <c r="C135">
        <v>0</v>
      </c>
      <c r="D135">
        <v>0</v>
      </c>
    </row>
    <row r="136" spans="3:4" x14ac:dyDescent="0.3">
      <c r="C136">
        <v>3.85</v>
      </c>
      <c r="D136">
        <v>0</v>
      </c>
    </row>
    <row r="137" spans="3:4" x14ac:dyDescent="0.3">
      <c r="C137">
        <v>4</v>
      </c>
      <c r="D137">
        <v>1.4999999999999999E-2</v>
      </c>
    </row>
    <row r="138" spans="3:4" x14ac:dyDescent="0.3">
      <c r="C138">
        <v>4.2</v>
      </c>
      <c r="D138">
        <v>5.3999999999999999E-2</v>
      </c>
    </row>
    <row r="139" spans="3:4" x14ac:dyDescent="0.3">
      <c r="C139">
        <v>4.5</v>
      </c>
      <c r="D139">
        <v>0.13</v>
      </c>
    </row>
    <row r="140" spans="3:4" x14ac:dyDescent="0.3">
      <c r="C140">
        <v>4.7</v>
      </c>
      <c r="D140">
        <v>0.17499999999999999</v>
      </c>
    </row>
    <row r="141" spans="3:4" x14ac:dyDescent="0.3">
      <c r="C141">
        <v>4.8</v>
      </c>
      <c r="D141">
        <v>0.19500000000000001</v>
      </c>
    </row>
    <row r="142" spans="3:4" x14ac:dyDescent="0.3">
      <c r="C142">
        <v>4.8499999999999996</v>
      </c>
      <c r="D142">
        <v>0.20499999999999999</v>
      </c>
    </row>
    <row r="143" spans="3:4" x14ac:dyDescent="0.3">
      <c r="C143">
        <v>4.9000000000000004</v>
      </c>
      <c r="D143">
        <v>0.215</v>
      </c>
    </row>
    <row r="144" spans="3:4" x14ac:dyDescent="0.3">
      <c r="C144">
        <v>5</v>
      </c>
      <c r="D144">
        <v>0.223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Eshwari Udachan</dc:creator>
  <cp:lastModifiedBy>Eshwari Udachan</cp:lastModifiedBy>
  <dcterms:created xsi:type="dcterms:W3CDTF">2026-06-25T06:40:50Z</dcterms:created>
  <dcterms:modified xsi:type="dcterms:W3CDTF">2026-06-25T10:51:32Z</dcterms:modified>
</cp:coreProperties>
</file>