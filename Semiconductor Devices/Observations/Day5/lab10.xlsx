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Day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8" i="1" l="1"/>
  <c r="H46" i="1" l="1"/>
  <c r="H47" i="1"/>
  <c r="H48" i="1"/>
  <c r="H49" i="1"/>
  <c r="H50" i="1"/>
  <c r="H51" i="1"/>
  <c r="H52" i="1"/>
  <c r="H53" i="1"/>
  <c r="H54" i="1"/>
  <c r="H55" i="1"/>
  <c r="H45" i="1"/>
  <c r="E46" i="1"/>
  <c r="E47" i="1"/>
  <c r="E48" i="1"/>
  <c r="E49" i="1"/>
  <c r="E50" i="1"/>
  <c r="E51" i="1"/>
  <c r="E52" i="1"/>
  <c r="E53" i="1"/>
  <c r="E54" i="1"/>
  <c r="E55" i="1"/>
  <c r="E45" i="1"/>
  <c r="H30" i="1"/>
  <c r="H31" i="1"/>
  <c r="H32" i="1"/>
  <c r="H33" i="1"/>
  <c r="H34" i="1"/>
  <c r="H35" i="1"/>
  <c r="H29" i="1"/>
  <c r="E30" i="1"/>
  <c r="E31" i="1"/>
  <c r="E32" i="1"/>
  <c r="E33" i="1"/>
  <c r="E34" i="1"/>
  <c r="E35" i="1"/>
  <c r="E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</calcChain>
</file>

<file path=xl/sharedStrings.xml><?xml version="1.0" encoding="utf-8"?>
<sst xmlns="http://schemas.openxmlformats.org/spreadsheetml/2006/main" count="31" uniqueCount="18">
  <si>
    <t xml:space="preserve">Vgs </t>
  </si>
  <si>
    <t xml:space="preserve">Vout </t>
  </si>
  <si>
    <t>Vin</t>
  </si>
  <si>
    <t>Id</t>
  </si>
  <si>
    <t>Vgs</t>
  </si>
  <si>
    <t>Vout</t>
  </si>
  <si>
    <t>id</t>
  </si>
  <si>
    <t>r1=1mohm</t>
  </si>
  <si>
    <t>PART 2</t>
  </si>
  <si>
    <t>PART1B</t>
  </si>
  <si>
    <t>r1=10 mega ohms</t>
  </si>
  <si>
    <t>Part 1A r1 = 20 mega ohms</t>
  </si>
  <si>
    <t>Part 3</t>
  </si>
  <si>
    <t>frequency = 50 Hz</t>
  </si>
  <si>
    <t>Offset voltage = 1.15</t>
  </si>
  <si>
    <t>AC gain =</t>
  </si>
  <si>
    <t>Vinput = 56mV peak to peak</t>
  </si>
  <si>
    <t>Vout = 72mV peak to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</si>
</sst>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Sheet1!$F$4:$F$23</c:f>
              <c:numCache>
                <c:formatCode>General</c:formatCode>
                <c:ptCount val="20"/>
                <c:pt idx="0">
                  <c:v>0.03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0.9</c:v>
                </c:pt>
                <c:pt idx="5">
                  <c:v>0.95</c:v>
                </c:pt>
                <c:pt idx="6">
                  <c:v>1</c:v>
                </c:pt>
                <c:pt idx="7">
                  <c:v>1.05</c:v>
                </c:pt>
                <c:pt idx="8">
                  <c:v>1.1000000000000001</c:v>
                </c:pt>
                <c:pt idx="9">
                  <c:v>1.1499999999999999</c:v>
                </c:pt>
                <c:pt idx="10">
                  <c:v>1.17</c:v>
                </c:pt>
                <c:pt idx="11">
                  <c:v>1.19</c:v>
                </c:pt>
                <c:pt idx="12">
                  <c:v>1.22</c:v>
                </c:pt>
                <c:pt idx="13">
                  <c:v>1.25</c:v>
                </c:pt>
                <c:pt idx="14">
                  <c:v>1.26</c:v>
                </c:pt>
                <c:pt idx="15">
                  <c:v>1.27</c:v>
                </c:pt>
                <c:pt idx="16">
                  <c:v>1.4</c:v>
                </c:pt>
                <c:pt idx="17">
                  <c:v>1.3</c:v>
                </c:pt>
                <c:pt idx="18">
                  <c:v>1.33</c:v>
                </c:pt>
              </c:numCache>
            </c:numRef>
          </c:xVal>
          <c:yVal>
            <c:numRef>
              <c:f>Sheet1!$G$4:$G$23</c:f>
              <c:numCache>
                <c:formatCode>General</c:formatCode>
                <c:ptCount val="20"/>
                <c:pt idx="0">
                  <c:v>1.9350000000000001E-7</c:v>
                </c:pt>
                <c:pt idx="1">
                  <c:v>1.9350000000000001E-7</c:v>
                </c:pt>
                <c:pt idx="2">
                  <c:v>1.9450000000000003E-7</c:v>
                </c:pt>
                <c:pt idx="3">
                  <c:v>1.9450000000000003E-7</c:v>
                </c:pt>
                <c:pt idx="4">
                  <c:v>1.9450000000000003E-7</c:v>
                </c:pt>
                <c:pt idx="5">
                  <c:v>1.9650000000000002E-7</c:v>
                </c:pt>
                <c:pt idx="6">
                  <c:v>1.9950000000000001E-7</c:v>
                </c:pt>
                <c:pt idx="7">
                  <c:v>2.0249999999999999E-7</c:v>
                </c:pt>
                <c:pt idx="8">
                  <c:v>2.1749999999999998E-7</c:v>
                </c:pt>
                <c:pt idx="9">
                  <c:v>2.48E-7</c:v>
                </c:pt>
                <c:pt idx="10">
                  <c:v>2.6150000000000001E-7</c:v>
                </c:pt>
                <c:pt idx="11">
                  <c:v>2.8149999999999997E-7</c:v>
                </c:pt>
                <c:pt idx="12">
                  <c:v>3.1099999999999997E-7</c:v>
                </c:pt>
                <c:pt idx="13">
                  <c:v>3.5500000000000004E-7</c:v>
                </c:pt>
                <c:pt idx="14">
                  <c:v>3.6749999999999998E-7</c:v>
                </c:pt>
                <c:pt idx="15">
                  <c:v>3.7049999999999999E-7</c:v>
                </c:pt>
                <c:pt idx="16">
                  <c:v>3.7250000000000003E-7</c:v>
                </c:pt>
                <c:pt idx="17">
                  <c:v>3.7150000000000001E-7</c:v>
                </c:pt>
                <c:pt idx="18">
                  <c:v>3.7250000000000003E-7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1-4D76-82D4-6B1851CBE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997343"/>
        <c:axId val="1082998783"/>
      </c:scatterChart>
      <c:valAx>
        <c:axId val="108299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98783"/>
        <c:crosses val="autoZero"/>
        <c:crossBetween val="midCat"/>
      </c:valAx>
      <c:valAx>
        <c:axId val="108299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9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Sheet1!$G$29:$G$35</c:f>
              <c:numCache>
                <c:formatCode>General</c:formatCode>
                <c:ptCount val="7"/>
                <c:pt idx="0">
                  <c:v>0.02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1.25</c:v>
                </c:pt>
                <c:pt idx="5">
                  <c:v>1.27</c:v>
                </c:pt>
                <c:pt idx="6">
                  <c:v>1.29</c:v>
                </c:pt>
              </c:numCache>
            </c:numRef>
          </c:xVal>
          <c:yVal>
            <c:numRef>
              <c:f>Sheet1!$H$29:$H$35</c:f>
              <c:numCache>
                <c:formatCode>General</c:formatCode>
                <c:ptCount val="7"/>
                <c:pt idx="0">
                  <c:v>1.9300000000000002E-7</c:v>
                </c:pt>
                <c:pt idx="1">
                  <c:v>2.0300000000000003E-7</c:v>
                </c:pt>
                <c:pt idx="2">
                  <c:v>2.2400000000000002E-7</c:v>
                </c:pt>
                <c:pt idx="3">
                  <c:v>3.58E-7</c:v>
                </c:pt>
                <c:pt idx="4">
                  <c:v>5.1899999999999992E-7</c:v>
                </c:pt>
                <c:pt idx="5">
                  <c:v>6.44E-7</c:v>
                </c:pt>
                <c:pt idx="6">
                  <c:v>7.1699999999999997E-7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27-475B-92CE-67D65C82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518111"/>
        <c:axId val="934518591"/>
      </c:scatterChart>
      <c:valAx>
        <c:axId val="93451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8591"/>
        <c:crosses val="autoZero"/>
        <c:crossBetween val="midCat"/>
      </c:valAx>
      <c:valAx>
        <c:axId val="93451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1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Sheet1!$G$44:$G$55</c:f>
              <c:numCache>
                <c:formatCode>General</c:formatCode>
                <c:ptCount val="12"/>
                <c:pt idx="0">
                  <c:v>0</c:v>
                </c:pt>
                <c:pt idx="1">
                  <c:v>0.04</c:v>
                </c:pt>
                <c:pt idx="2">
                  <c:v>0.1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</c:numCache>
            </c:numRef>
          </c:xVal>
          <c:yVal>
            <c:numRef>
              <c:f>Sheet1!$H$44:$H$55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6.0000000000000048E-8</c:v>
                </c:pt>
                <c:pt idx="3">
                  <c:v>2.8999999999999916E-8</c:v>
                </c:pt>
                <c:pt idx="4">
                  <c:v>4.8000000000000039E-8</c:v>
                </c:pt>
                <c:pt idx="5">
                  <c:v>6.6999999999999951E-8</c:v>
                </c:pt>
                <c:pt idx="6">
                  <c:v>8.6000000000000082E-8</c:v>
                </c:pt>
                <c:pt idx="7">
                  <c:v>1.0299999999999998E-7</c:v>
                </c:pt>
                <c:pt idx="8">
                  <c:v>1.3199999999999988E-7</c:v>
                </c:pt>
                <c:pt idx="9">
                  <c:v>1.5500000000000002E-7</c:v>
                </c:pt>
                <c:pt idx="10">
                  <c:v>1.7399999999999994E-7</c:v>
                </c:pt>
                <c:pt idx="11">
                  <c:v>1.9500000000000007E-7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F-44A5-91AE-9454C0E17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054399"/>
        <c:axId val="1182056319"/>
      </c:scatterChart>
      <c:valAx>
        <c:axId val="118205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56319"/>
        <c:crosses val="autoZero"/>
        <c:crossBetween val="midCat"/>
      </c:valAx>
      <c:valAx>
        <c:axId val="11820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5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Sheet1!$B$61:$B$70</c:f>
              <c:numCache>
                <c:formatCode>General</c:formatCode>
                <c:ptCount val="10"/>
                <c:pt idx="0">
                  <c:v>0.05</c:v>
                </c:pt>
                <c:pt idx="1">
                  <c:v>1.23</c:v>
                </c:pt>
                <c:pt idx="2">
                  <c:v>1.32</c:v>
                </c:pt>
                <c:pt idx="3">
                  <c:v>1.41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1.99</c:v>
                </c:pt>
              </c:numCache>
            </c:numRef>
          </c:xVal>
          <c:yVal>
            <c:numRef>
              <c:f>Sheet1!$C$61:$C$70</c:f>
              <c:numCache>
                <c:formatCode>0.00E+00</c:formatCode>
                <c:ptCount val="10"/>
                <c:pt idx="0" formatCode="General">
                  <c:v>0</c:v>
                </c:pt>
                <c:pt idx="1">
                  <c:v>9.9999999999999995E-8</c:v>
                </c:pt>
                <c:pt idx="2">
                  <c:v>9.9999999999999995E-7</c:v>
                </c:pt>
                <c:pt idx="3">
                  <c:v>3.1999999999999999E-6</c:v>
                </c:pt>
                <c:pt idx="4">
                  <c:v>6.9E-6</c:v>
                </c:pt>
                <c:pt idx="5">
                  <c:v>1.24E-5</c:v>
                </c:pt>
                <c:pt idx="6">
                  <c:v>1.91E-5</c:v>
                </c:pt>
                <c:pt idx="7">
                  <c:v>2.6599999999999999E-5</c:v>
                </c:pt>
                <c:pt idx="8">
                  <c:v>3.4900000000000001E-5</c:v>
                </c:pt>
                <c:pt idx="9">
                  <c:v>4.3000000000000002E-5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F-418D-AAA9-5F1EBE43A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371247"/>
        <c:axId val="1082995903"/>
      </c:scatterChart>
      <c:valAx>
        <c:axId val="80237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95903"/>
        <c:crosses val="autoZero"/>
        <c:crossBetween val="midCat"/>
      </c:valAx>
      <c:valAx>
        <c:axId val="10829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7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6</xdr:row>
      <xdr:rowOff>83820</xdr:rowOff>
    </xdr:from>
    <xdr:to>
      <xdr:col>15</xdr:col>
      <xdr:colOff>76200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69CA98-EA28-1721-CAE3-517CEE627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365760</xdr:colOff>
      <xdr:row>25</xdr:row>
      <xdr:rowOff>129540</xdr:rowOff>
    </xdr:from>
    <xdr:to>
      <xdr:col>16</xdr:col>
      <xdr:colOff>60960</xdr:colOff>
      <xdr:row>40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3703FF-0BA9-CA65-8FD6-D1029BCDE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472440</xdr:colOff>
      <xdr:row>41</xdr:row>
      <xdr:rowOff>167640</xdr:rowOff>
    </xdr:from>
    <xdr:to>
      <xdr:col>16</xdr:col>
      <xdr:colOff>167640</xdr:colOff>
      <xdr:row>56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D3C9B2-2D7D-0156-0198-3A2419937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731520</xdr:colOff>
      <xdr:row>59</xdr:row>
      <xdr:rowOff>53340</xdr:rowOff>
    </xdr:from>
    <xdr:to>
      <xdr:col>15</xdr:col>
      <xdr:colOff>213360</xdr:colOff>
      <xdr:row>74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5587BA-E47D-84E3-0069-3B27039B5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9"/>
  <sheetViews>
    <sheetView tabSelected="1" topLeftCell="A50" workbookViewId="0">
      <selection activeCell="S13" sqref="S13"/>
    </sheetView>
  </sheetViews>
  <sheetFormatPr defaultRowHeight="13.8"/>
  <cols>
    <col min="5" max="5" width="9.19921875" customWidth="1"/>
    <col min="7" max="7" width="10" bestFit="1" customWidth="1"/>
    <col min="8" max="8" width="12" bestFit="1" customWidth="1"/>
  </cols>
  <sheetData>
    <row r="2" spans="2:7">
      <c r="B2" t="s">
        <v>11</v>
      </c>
    </row>
    <row r="3" spans="2:7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3</v>
      </c>
    </row>
    <row r="4" spans="2:7">
      <c r="B4">
        <v>0.03</v>
      </c>
      <c r="C4">
        <v>5.84</v>
      </c>
      <c r="D4">
        <v>1.97</v>
      </c>
      <c r="E4">
        <f>(C4-D4)/20000000</f>
        <v>1.9350000000000001E-7</v>
      </c>
      <c r="F4">
        <v>0.03</v>
      </c>
      <c r="G4">
        <f>E4</f>
        <v>1.9350000000000001E-7</v>
      </c>
    </row>
    <row r="5" spans="2:7">
      <c r="B5">
        <v>0.05</v>
      </c>
      <c r="C5">
        <v>5.84</v>
      </c>
      <c r="D5">
        <v>1.97</v>
      </c>
      <c r="E5">
        <f t="shared" ref="E5:E22" si="0">(C5-D5)/20000000</f>
        <v>1.9350000000000001E-7</v>
      </c>
      <c r="F5">
        <v>0.05</v>
      </c>
      <c r="G5">
        <f t="shared" ref="G5:G22" si="1">E5</f>
        <v>1.9350000000000001E-7</v>
      </c>
    </row>
    <row r="6" spans="2:7">
      <c r="B6">
        <v>0.1</v>
      </c>
      <c r="C6">
        <v>5.86</v>
      </c>
      <c r="D6">
        <v>1.97</v>
      </c>
      <c r="E6">
        <f t="shared" si="0"/>
        <v>1.9450000000000003E-7</v>
      </c>
      <c r="F6">
        <v>0.1</v>
      </c>
      <c r="G6">
        <f t="shared" si="1"/>
        <v>1.9450000000000003E-7</v>
      </c>
    </row>
    <row r="7" spans="2:7">
      <c r="B7">
        <v>0.2</v>
      </c>
      <c r="C7">
        <v>5.86</v>
      </c>
      <c r="D7">
        <v>1.97</v>
      </c>
      <c r="E7">
        <f t="shared" si="0"/>
        <v>1.9450000000000003E-7</v>
      </c>
      <c r="F7">
        <v>0.2</v>
      </c>
      <c r="G7">
        <f t="shared" si="1"/>
        <v>1.9450000000000003E-7</v>
      </c>
    </row>
    <row r="8" spans="2:7">
      <c r="B8">
        <v>0.9</v>
      </c>
      <c r="C8">
        <v>5.86</v>
      </c>
      <c r="D8">
        <v>1.97</v>
      </c>
      <c r="E8">
        <f t="shared" si="0"/>
        <v>1.9450000000000003E-7</v>
      </c>
      <c r="F8">
        <v>0.9</v>
      </c>
      <c r="G8">
        <f t="shared" si="1"/>
        <v>1.9450000000000003E-7</v>
      </c>
    </row>
    <row r="9" spans="2:7">
      <c r="B9">
        <v>0.95</v>
      </c>
      <c r="C9">
        <v>5.9</v>
      </c>
      <c r="D9">
        <v>1.97</v>
      </c>
      <c r="E9">
        <f t="shared" si="0"/>
        <v>1.9650000000000002E-7</v>
      </c>
      <c r="F9">
        <v>0.95</v>
      </c>
      <c r="G9">
        <f t="shared" si="1"/>
        <v>1.9650000000000002E-7</v>
      </c>
    </row>
    <row r="10" spans="2:7">
      <c r="B10">
        <v>1</v>
      </c>
      <c r="C10">
        <v>5.96</v>
      </c>
      <c r="D10">
        <v>1.97</v>
      </c>
      <c r="E10">
        <f t="shared" si="0"/>
        <v>1.9950000000000001E-7</v>
      </c>
      <c r="F10">
        <v>1</v>
      </c>
      <c r="G10">
        <f t="shared" si="1"/>
        <v>1.9950000000000001E-7</v>
      </c>
    </row>
    <row r="11" spans="2:7">
      <c r="B11">
        <v>1.05</v>
      </c>
      <c r="C11">
        <v>6.02</v>
      </c>
      <c r="D11">
        <v>1.97</v>
      </c>
      <c r="E11">
        <f t="shared" si="0"/>
        <v>2.0249999999999999E-7</v>
      </c>
      <c r="F11">
        <v>1.05</v>
      </c>
      <c r="G11">
        <f t="shared" si="1"/>
        <v>2.0249999999999999E-7</v>
      </c>
    </row>
    <row r="12" spans="2:7">
      <c r="B12">
        <v>1.1000000000000001</v>
      </c>
      <c r="C12">
        <v>6.3</v>
      </c>
      <c r="D12">
        <v>1.95</v>
      </c>
      <c r="E12">
        <f t="shared" si="0"/>
        <v>2.1749999999999998E-7</v>
      </c>
      <c r="F12">
        <v>1.1000000000000001</v>
      </c>
      <c r="G12">
        <f t="shared" si="1"/>
        <v>2.1749999999999998E-7</v>
      </c>
    </row>
    <row r="13" spans="2:7">
      <c r="B13">
        <v>1.1499999999999999</v>
      </c>
      <c r="C13">
        <v>6.8</v>
      </c>
      <c r="D13">
        <v>1.84</v>
      </c>
      <c r="E13">
        <f t="shared" si="0"/>
        <v>2.48E-7</v>
      </c>
      <c r="F13">
        <v>1.1499999999999999</v>
      </c>
      <c r="G13">
        <f t="shared" si="1"/>
        <v>2.48E-7</v>
      </c>
    </row>
    <row r="14" spans="2:7">
      <c r="B14">
        <v>1.17</v>
      </c>
      <c r="C14">
        <v>7</v>
      </c>
      <c r="D14">
        <v>1.77</v>
      </c>
      <c r="E14">
        <f t="shared" si="0"/>
        <v>2.6150000000000001E-7</v>
      </c>
      <c r="F14">
        <v>1.17</v>
      </c>
      <c r="G14">
        <f t="shared" si="1"/>
        <v>2.6150000000000001E-7</v>
      </c>
    </row>
    <row r="15" spans="2:7">
      <c r="B15">
        <v>1.19</v>
      </c>
      <c r="C15">
        <v>7.26</v>
      </c>
      <c r="D15">
        <v>1.63</v>
      </c>
      <c r="E15">
        <f t="shared" si="0"/>
        <v>2.8149999999999997E-7</v>
      </c>
      <c r="F15">
        <v>1.19</v>
      </c>
      <c r="G15">
        <f t="shared" si="1"/>
        <v>2.8149999999999997E-7</v>
      </c>
    </row>
    <row r="16" spans="2:7">
      <c r="B16">
        <v>1.22</v>
      </c>
      <c r="C16">
        <v>7.43</v>
      </c>
      <c r="D16">
        <v>1.21</v>
      </c>
      <c r="E16">
        <f t="shared" si="0"/>
        <v>3.1099999999999997E-7</v>
      </c>
      <c r="F16">
        <v>1.22</v>
      </c>
      <c r="G16">
        <f t="shared" si="1"/>
        <v>3.1099999999999997E-7</v>
      </c>
    </row>
    <row r="17" spans="2:8">
      <c r="B17">
        <v>1.25</v>
      </c>
      <c r="C17">
        <v>7.45</v>
      </c>
      <c r="D17">
        <v>0.35</v>
      </c>
      <c r="E17">
        <f t="shared" si="0"/>
        <v>3.5500000000000004E-7</v>
      </c>
      <c r="F17">
        <v>1.25</v>
      </c>
      <c r="G17">
        <f t="shared" si="1"/>
        <v>3.5500000000000004E-7</v>
      </c>
    </row>
    <row r="18" spans="2:8">
      <c r="B18">
        <v>1.26</v>
      </c>
      <c r="C18">
        <v>7.46</v>
      </c>
      <c r="D18">
        <v>0.11</v>
      </c>
      <c r="E18">
        <f t="shared" si="0"/>
        <v>3.6749999999999998E-7</v>
      </c>
      <c r="F18">
        <v>1.26</v>
      </c>
      <c r="G18">
        <f t="shared" si="1"/>
        <v>3.6749999999999998E-7</v>
      </c>
    </row>
    <row r="19" spans="2:8">
      <c r="B19">
        <v>1.27</v>
      </c>
      <c r="C19">
        <v>7.45</v>
      </c>
      <c r="D19">
        <v>0.04</v>
      </c>
      <c r="E19">
        <f t="shared" si="0"/>
        <v>3.7049999999999999E-7</v>
      </c>
      <c r="F19">
        <v>1.27</v>
      </c>
      <c r="G19">
        <f t="shared" si="1"/>
        <v>3.7049999999999999E-7</v>
      </c>
    </row>
    <row r="20" spans="2:8">
      <c r="B20">
        <v>1.4</v>
      </c>
      <c r="C20">
        <v>7.45</v>
      </c>
      <c r="D20">
        <v>0</v>
      </c>
      <c r="E20">
        <f t="shared" si="0"/>
        <v>3.7250000000000003E-7</v>
      </c>
      <c r="F20">
        <v>1.4</v>
      </c>
      <c r="G20">
        <f t="shared" si="1"/>
        <v>3.7250000000000003E-7</v>
      </c>
    </row>
    <row r="21" spans="2:8">
      <c r="B21">
        <v>1.3</v>
      </c>
      <c r="C21">
        <v>7.45</v>
      </c>
      <c r="D21">
        <v>0.02</v>
      </c>
      <c r="E21">
        <f t="shared" si="0"/>
        <v>3.7150000000000001E-7</v>
      </c>
      <c r="F21">
        <v>1.3</v>
      </c>
      <c r="G21">
        <f t="shared" si="1"/>
        <v>3.7150000000000001E-7</v>
      </c>
    </row>
    <row r="22" spans="2:8">
      <c r="B22">
        <v>1.33</v>
      </c>
      <c r="C22">
        <v>7.45</v>
      </c>
      <c r="D22">
        <v>0</v>
      </c>
      <c r="E22">
        <f t="shared" si="0"/>
        <v>3.7250000000000003E-7</v>
      </c>
      <c r="F22">
        <v>1.33</v>
      </c>
      <c r="G22">
        <f t="shared" si="1"/>
        <v>3.7250000000000003E-7</v>
      </c>
    </row>
    <row r="27" spans="2:8">
      <c r="B27" t="s">
        <v>9</v>
      </c>
      <c r="C27" t="s">
        <v>10</v>
      </c>
    </row>
    <row r="28" spans="2:8">
      <c r="B28" t="s">
        <v>4</v>
      </c>
      <c r="C28" t="s">
        <v>5</v>
      </c>
      <c r="D28" t="s">
        <v>2</v>
      </c>
      <c r="E28" t="s">
        <v>6</v>
      </c>
      <c r="G28" t="s">
        <v>4</v>
      </c>
      <c r="H28" t="s">
        <v>3</v>
      </c>
    </row>
    <row r="29" spans="2:8">
      <c r="B29">
        <v>0.02</v>
      </c>
      <c r="C29">
        <v>3.89</v>
      </c>
      <c r="D29">
        <v>1.96</v>
      </c>
      <c r="E29">
        <f>(C29-D29)/10000000</f>
        <v>1.9300000000000002E-7</v>
      </c>
      <c r="G29">
        <v>0.02</v>
      </c>
      <c r="H29">
        <f>E29</f>
        <v>1.9300000000000002E-7</v>
      </c>
    </row>
    <row r="30" spans="2:8">
      <c r="B30">
        <v>1</v>
      </c>
      <c r="C30">
        <v>3.99</v>
      </c>
      <c r="D30">
        <v>1.96</v>
      </c>
      <c r="E30">
        <f t="shared" ref="E30:E35" si="2">(C30-D30)/10000000</f>
        <v>2.0300000000000003E-7</v>
      </c>
      <c r="G30">
        <v>1</v>
      </c>
      <c r="H30">
        <f t="shared" ref="H30:H35" si="3">E30</f>
        <v>2.0300000000000003E-7</v>
      </c>
    </row>
    <row r="31" spans="2:8">
      <c r="B31">
        <v>1.1000000000000001</v>
      </c>
      <c r="C31">
        <v>4.2</v>
      </c>
      <c r="D31">
        <v>1.96</v>
      </c>
      <c r="E31">
        <f t="shared" si="2"/>
        <v>2.2400000000000002E-7</v>
      </c>
      <c r="G31">
        <v>1.1000000000000001</v>
      </c>
      <c r="H31">
        <f t="shared" si="3"/>
        <v>2.2400000000000002E-7</v>
      </c>
    </row>
    <row r="32" spans="2:8">
      <c r="B32">
        <v>1.2</v>
      </c>
      <c r="C32">
        <v>5.54</v>
      </c>
      <c r="D32">
        <v>1.96</v>
      </c>
      <c r="E32">
        <f t="shared" si="2"/>
        <v>3.58E-7</v>
      </c>
      <c r="G32">
        <v>1.2</v>
      </c>
      <c r="H32">
        <f t="shared" si="3"/>
        <v>3.58E-7</v>
      </c>
    </row>
    <row r="33" spans="2:8">
      <c r="B33">
        <v>1.25</v>
      </c>
      <c r="C33">
        <v>7.09</v>
      </c>
      <c r="D33">
        <v>1.9</v>
      </c>
      <c r="E33">
        <f t="shared" si="2"/>
        <v>5.1899999999999992E-7</v>
      </c>
      <c r="G33">
        <v>1.25</v>
      </c>
      <c r="H33">
        <f t="shared" si="3"/>
        <v>5.1899999999999992E-7</v>
      </c>
    </row>
    <row r="34" spans="2:8">
      <c r="B34">
        <v>1.27</v>
      </c>
      <c r="C34">
        <v>7.9</v>
      </c>
      <c r="D34">
        <v>1.46</v>
      </c>
      <c r="E34">
        <f t="shared" si="2"/>
        <v>6.44E-7</v>
      </c>
      <c r="G34">
        <v>1.27</v>
      </c>
      <c r="H34">
        <f t="shared" si="3"/>
        <v>6.44E-7</v>
      </c>
    </row>
    <row r="35" spans="2:8">
      <c r="B35">
        <v>1.29</v>
      </c>
      <c r="C35">
        <v>7.96</v>
      </c>
      <c r="D35">
        <v>0.79</v>
      </c>
      <c r="E35">
        <f t="shared" si="2"/>
        <v>7.1699999999999997E-7</v>
      </c>
      <c r="G35">
        <v>1.29</v>
      </c>
      <c r="H35">
        <f t="shared" si="3"/>
        <v>7.1699999999999997E-7</v>
      </c>
    </row>
    <row r="43" spans="2:8">
      <c r="C43" t="s">
        <v>7</v>
      </c>
      <c r="G43" t="s">
        <v>4</v>
      </c>
      <c r="H43" t="s">
        <v>3</v>
      </c>
    </row>
    <row r="44" spans="2:8">
      <c r="B44" t="s">
        <v>4</v>
      </c>
      <c r="C44" t="s">
        <v>5</v>
      </c>
      <c r="D44" t="s">
        <v>2</v>
      </c>
      <c r="E44" t="s">
        <v>6</v>
      </c>
      <c r="G44">
        <v>0</v>
      </c>
      <c r="H44">
        <v>0</v>
      </c>
    </row>
    <row r="45" spans="2:8">
      <c r="B45">
        <v>0.04</v>
      </c>
      <c r="C45">
        <v>1.98</v>
      </c>
      <c r="D45">
        <v>1.98</v>
      </c>
      <c r="E45">
        <f>(C45-D45)/1000000</f>
        <v>0</v>
      </c>
      <c r="G45">
        <v>0.04</v>
      </c>
      <c r="H45">
        <f>E45</f>
        <v>0</v>
      </c>
    </row>
    <row r="46" spans="2:8">
      <c r="B46">
        <v>0.1</v>
      </c>
      <c r="C46">
        <v>1.98</v>
      </c>
      <c r="D46">
        <v>1.92</v>
      </c>
      <c r="E46">
        <f t="shared" ref="E46:E55" si="4">(C46-D46)/1000000</f>
        <v>6.0000000000000048E-8</v>
      </c>
      <c r="G46">
        <v>0.1</v>
      </c>
      <c r="H46">
        <f t="shared" ref="H46:H55" si="5">E46</f>
        <v>6.0000000000000048E-8</v>
      </c>
    </row>
    <row r="47" spans="2:8">
      <c r="B47">
        <v>7.0000000000000007E-2</v>
      </c>
      <c r="C47">
        <v>1.98</v>
      </c>
      <c r="D47">
        <v>1.9510000000000001</v>
      </c>
      <c r="E47">
        <f t="shared" si="4"/>
        <v>2.8999999999999916E-8</v>
      </c>
      <c r="G47">
        <v>7.0000000000000007E-2</v>
      </c>
      <c r="H47">
        <f t="shared" si="5"/>
        <v>2.8999999999999916E-8</v>
      </c>
    </row>
    <row r="48" spans="2:8">
      <c r="B48">
        <v>0.09</v>
      </c>
      <c r="C48">
        <v>1.98</v>
      </c>
      <c r="D48">
        <v>1.9319999999999999</v>
      </c>
      <c r="E48">
        <f t="shared" si="4"/>
        <v>4.8000000000000039E-8</v>
      </c>
      <c r="G48">
        <v>0.09</v>
      </c>
      <c r="H48">
        <f t="shared" si="5"/>
        <v>4.8000000000000039E-8</v>
      </c>
    </row>
    <row r="49" spans="2:8">
      <c r="B49">
        <v>0.11</v>
      </c>
      <c r="C49">
        <v>1.98</v>
      </c>
      <c r="D49">
        <v>1.913</v>
      </c>
      <c r="E49">
        <f t="shared" si="4"/>
        <v>6.6999999999999951E-8</v>
      </c>
      <c r="G49">
        <v>0.11</v>
      </c>
      <c r="H49">
        <f t="shared" si="5"/>
        <v>6.6999999999999951E-8</v>
      </c>
    </row>
    <row r="50" spans="2:8">
      <c r="B50">
        <v>0.13</v>
      </c>
      <c r="C50">
        <v>1.98</v>
      </c>
      <c r="D50">
        <v>1.8939999999999999</v>
      </c>
      <c r="E50">
        <f t="shared" si="4"/>
        <v>8.6000000000000082E-8</v>
      </c>
      <c r="G50">
        <v>0.13</v>
      </c>
      <c r="H50">
        <f t="shared" si="5"/>
        <v>8.6000000000000082E-8</v>
      </c>
    </row>
    <row r="51" spans="2:8">
      <c r="B51">
        <v>0.15</v>
      </c>
      <c r="C51">
        <v>1.98</v>
      </c>
      <c r="D51">
        <v>1.877</v>
      </c>
      <c r="E51">
        <f t="shared" si="4"/>
        <v>1.0299999999999998E-7</v>
      </c>
      <c r="G51">
        <v>0.15</v>
      </c>
      <c r="H51">
        <f t="shared" si="5"/>
        <v>1.0299999999999998E-7</v>
      </c>
    </row>
    <row r="52" spans="2:8">
      <c r="B52">
        <v>0.17</v>
      </c>
      <c r="C52">
        <v>1.98</v>
      </c>
      <c r="D52">
        <v>1.8480000000000001</v>
      </c>
      <c r="E52">
        <f t="shared" si="4"/>
        <v>1.3199999999999988E-7</v>
      </c>
      <c r="G52">
        <v>0.17</v>
      </c>
      <c r="H52">
        <f t="shared" si="5"/>
        <v>1.3199999999999988E-7</v>
      </c>
    </row>
    <row r="53" spans="2:8">
      <c r="B53">
        <v>0.2</v>
      </c>
      <c r="C53">
        <v>1.98</v>
      </c>
      <c r="D53">
        <v>1.825</v>
      </c>
      <c r="E53">
        <f t="shared" si="4"/>
        <v>1.5500000000000002E-7</v>
      </c>
      <c r="G53">
        <v>0.2</v>
      </c>
      <c r="H53">
        <f t="shared" si="5"/>
        <v>1.5500000000000002E-7</v>
      </c>
    </row>
    <row r="54" spans="2:8">
      <c r="B54">
        <v>0.22</v>
      </c>
      <c r="C54">
        <v>1.98</v>
      </c>
      <c r="D54">
        <v>1.806</v>
      </c>
      <c r="E54">
        <f t="shared" si="4"/>
        <v>1.7399999999999994E-7</v>
      </c>
      <c r="G54">
        <v>0.22</v>
      </c>
      <c r="H54">
        <f t="shared" si="5"/>
        <v>1.7399999999999994E-7</v>
      </c>
    </row>
    <row r="55" spans="2:8">
      <c r="B55">
        <v>0.24</v>
      </c>
      <c r="C55">
        <v>1.98</v>
      </c>
      <c r="D55">
        <v>1.7849999999999999</v>
      </c>
      <c r="E55">
        <f t="shared" si="4"/>
        <v>1.9500000000000007E-7</v>
      </c>
      <c r="G55">
        <v>0.24</v>
      </c>
      <c r="H55">
        <f t="shared" si="5"/>
        <v>1.9500000000000007E-7</v>
      </c>
    </row>
    <row r="59" spans="2:8">
      <c r="B59" t="s">
        <v>8</v>
      </c>
    </row>
    <row r="60" spans="2:8">
      <c r="B60" t="s">
        <v>4</v>
      </c>
      <c r="C60" t="s">
        <v>6</v>
      </c>
    </row>
    <row r="61" spans="2:8">
      <c r="B61">
        <v>0.05</v>
      </c>
      <c r="C61">
        <v>0</v>
      </c>
    </row>
    <row r="62" spans="2:8">
      <c r="B62">
        <v>1.23</v>
      </c>
      <c r="C62" s="1">
        <v>9.9999999999999995E-8</v>
      </c>
    </row>
    <row r="63" spans="2:8">
      <c r="B63">
        <v>1.32</v>
      </c>
      <c r="C63" s="1">
        <v>9.9999999999999995E-7</v>
      </c>
    </row>
    <row r="64" spans="2:8">
      <c r="B64">
        <v>1.41</v>
      </c>
      <c r="C64" s="1">
        <v>3.1999999999999999E-6</v>
      </c>
    </row>
    <row r="65" spans="2:3">
      <c r="B65">
        <v>1.5</v>
      </c>
      <c r="C65" s="1">
        <v>6.9E-6</v>
      </c>
    </row>
    <row r="66" spans="2:3">
      <c r="B66">
        <v>1.6</v>
      </c>
      <c r="C66" s="1">
        <v>1.24E-5</v>
      </c>
    </row>
    <row r="67" spans="2:3">
      <c r="B67">
        <v>1.7</v>
      </c>
      <c r="C67" s="1">
        <v>1.91E-5</v>
      </c>
    </row>
    <row r="68" spans="2:3">
      <c r="B68">
        <v>1.8</v>
      </c>
      <c r="C68" s="1">
        <v>2.6599999999999999E-5</v>
      </c>
    </row>
    <row r="69" spans="2:3">
      <c r="B69">
        <v>1.9</v>
      </c>
      <c r="C69" s="1">
        <v>3.4900000000000001E-5</v>
      </c>
    </row>
    <row r="70" spans="2:3">
      <c r="B70">
        <v>1.99</v>
      </c>
      <c r="C70" s="1">
        <v>4.3000000000000002E-5</v>
      </c>
    </row>
    <row r="74" spans="2:3">
      <c r="B74" t="s">
        <v>12</v>
      </c>
    </row>
    <row r="75" spans="2:3">
      <c r="B75" t="s">
        <v>16</v>
      </c>
    </row>
    <row r="76" spans="2:3">
      <c r="B76" t="s">
        <v>13</v>
      </c>
    </row>
    <row r="77" spans="2:3">
      <c r="B77" t="s">
        <v>14</v>
      </c>
    </row>
    <row r="78" spans="2:3">
      <c r="B78" t="s">
        <v>15</v>
      </c>
      <c r="C78">
        <f>72/56</f>
        <v>1.2857142857142858</v>
      </c>
    </row>
    <row r="79" spans="2:3">
      <c r="B79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 Udachan</dc:creator>
  <cp:lastModifiedBy>hp</cp:lastModifiedBy>
  <dcterms:created xsi:type="dcterms:W3CDTF">2026-06-26T06:55:17Z</dcterms:created>
  <dcterms:modified xsi:type="dcterms:W3CDTF">2026-06-26T15:08:55Z</dcterms:modified>
</cp:coreProperties>
</file>